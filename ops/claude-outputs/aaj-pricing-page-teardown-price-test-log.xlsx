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iagnose - Teardown" sheetId="2" state="visible" r:id="rId4"/>
    <sheet name="Diagnose - Competitor Grid" sheetId="3" state="visible" r:id="rId5"/>
    <sheet name="Design - Test Plan" sheetId="4" state="visible" r:id="rId6"/>
    <sheet name="Execute - Test Log" sheetId="5" state="visible" r:id="rId7"/>
    <sheet name="Sources &amp; Metho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<sst xmlns="http://schemas.openxmlformats.org/spreadsheetml/2006/main" count="446" uniqueCount="331">
  <si>
    <t xml:space="preserve">AAJ</t>
  </si>
  <si>
    <t xml:space="preserve">Pricing Page Teardown &amp; Price-Test Log</t>
  </si>
  <si>
    <t xml:space="preserve">Find what your pricing page makes hard. Then test a price only when your traffic can answer the question.</t>
  </si>
  <si>
    <t xml:space="preserve">Why this workbook</t>
  </si>
  <si>
    <t xml:space="preserve">Most pricing pages I review have the same two problems. The first is that the page makes the buyer do the work: decode the value metric, guess what they would actually pay, hunt for how to cancel. The second shows up when the team wants to change the price. They run a test their traffic cannot answer, stop it the week it looks good, and ship a guess with a p-value attached.</t>
  </si>
  <si>
    <t xml:space="preserve">This workbook deals with both. The teardown scores your pricing page, and up to three competitors', against 21 checks in about an hour, and tells you what to fix first. The test plan tells you before you start whether a live price test can give you an answer at all, and what to do instead when it cannot. The log keeps every price test honest: the plan is written before launch, and the read-out is against it.</t>
  </si>
  <si>
    <t xml:space="preserve">The AAJ method, applied to pricing pages</t>
  </si>
  <si>
    <t xml:space="preserve">Stage</t>
  </si>
  <si>
    <t xml:space="preserve">Tabs</t>
  </si>
  <si>
    <t xml:space="preserve">What it does</t>
  </si>
  <si>
    <t xml:space="preserve">Diagnose</t>
  </si>
  <si>
    <t xml:space="preserve">Teardown  ·  Competitor Grid</t>
  </si>
  <si>
    <t xml:space="preserve">Score your page and three competitors on the same 21 checks, record the facts of each price list, and get the five fixes that matter most.</t>
  </si>
  <si>
    <t xml:space="preserve">Design</t>
  </si>
  <si>
    <t xml:space="preserve">Test Plan</t>
  </si>
  <si>
    <t xml:space="preserve">Work out the break-even conversion for a new price, how many visitors a fair test needs, and whether you have them. Write the decision rules before launch.</t>
  </si>
  <si>
    <t xml:space="preserve">Execute</t>
  </si>
  <si>
    <t xml:space="preserve">Test Log</t>
  </si>
  <si>
    <t xml:space="preserve">Record every price test, before-and-after change and sales-quote trial against its plan. The read-out says whether the planned size was reached and what the numbers support.</t>
  </si>
  <si>
    <t xml:space="preserve">How to use it, in order</t>
  </si>
  <si>
    <t xml:space="preserve">1.  Teardown: name up to three competitors in row 8, then answer every check for your page and theirs. Say “Not sure” rather than guessing; it is scored as a miss and counted separately.</t>
  </si>
  <si>
    <t xml:space="preserve">2.  Competitor Grid: record the facts of each price list with the date you captured them. Pricing pages change, so the date matters.</t>
  </si>
  <si>
    <t xml:space="preserve">3.  Fix the page first. Most of the Teardown's fixes need no test at all.</t>
  </si>
  <si>
    <t xml:space="preserve">4.  Test Plan: before changing a price, fill in section 2 and read the verdict. If a live test cannot answer the question in the time you have, use one of the alternatives in section 5.</t>
  </si>
  <si>
    <t xml:space="preserve">5.  Write the decision rules in section 4 before launch, while nobody is invested in the answer.</t>
  </si>
  <si>
    <t xml:space="preserve">6.  Test Log: one row per test. Enter the planned size before launch and the results at the end. Put a retention check in the diary, because a price that sells can still churn.</t>
  </si>
  <si>
    <t xml:space="preserve">Reading the cells</t>
  </si>
  <si>
    <t xml:space="preserve">  Fill me in  </t>
  </si>
  <si>
    <t xml:space="preserve">Yellow fill, blue text: you type here or pick from the dropdown.</t>
  </si>
  <si>
    <t xml:space="preserve">  Auto  </t>
  </si>
  <si>
    <t xml:space="preserve">Bold navy text: a formula. It recalculates from your inputs. Do not type over it.</t>
  </si>
  <si>
    <t xml:space="preserve">  Worked example  </t>
  </si>
  <si>
    <t xml:space="preserve">Every tab is pre-filled with one example carried through: Fieldnote, a scheduling app for small field-service businesses, testing a price rise on its Team plan. Fieldnote is invented, and so are its competitors (A, B and C) and every number. Replace them with yours.</t>
  </si>
  <si>
    <t xml:space="preserve">The rules on disclosure, cancellation and price comparisons are summarised from the sources on the last tab, as of September 2026. I am not a lawyer, and this is where to start, not legal advice. Rules differ by country and state, and some apply to consumers only.</t>
  </si>
  <si>
    <t xml:space="preserve">AAJ · aajconsult.com · Saroj Jha · saroj@aajconsult.com</t>
  </si>
  <si>
    <t xml:space="preserve">Diagnose — Pricing Page Teardown</t>
  </si>
  <si>
    <t xml:space="preserve">Score your page and up to three competitors on the same checks. Weights are my judgement of what costs a buyer most, not a benchmark.</t>
  </si>
  <si>
    <t xml:space="preserve">Answer each check Yes, Partly, No or Not sure. Yes scores 2 points, Partly 1, No and Not sure 0, each multiplied by the weight. Unanswered checks are left out of the score. Judge what a buyer sees today, not what is planned.</t>
  </si>
  <si>
    <t xml:space="preserve">#</t>
  </si>
  <si>
    <t xml:space="preserve">Area</t>
  </si>
  <si>
    <t xml:space="preserve">Check</t>
  </si>
  <si>
    <t xml:space="preserve">Why it matters</t>
  </si>
  <si>
    <t xml:space="preserve">Weight</t>
  </si>
  <si>
    <t xml:space="preserve">Your page</t>
  </si>
  <si>
    <t xml:space="preserve">What you saw (evidence)</t>
  </si>
  <si>
    <t xml:space="preserve">Competitor 1</t>
  </si>
  <si>
    <t xml:space="preserve">Competitor 2</t>
  </si>
  <si>
    <t xml:space="preserve">Competitor 3</t>
  </si>
  <si>
    <t xml:space="preserve">Fix priority (auto)</t>
  </si>
  <si>
    <t xml:space="preserve">Rank key (auto)</t>
  </si>
  <si>
    <t xml:space="preserve">Competitors that pass (auto)</t>
  </si>
  <si>
    <t xml:space="preserve">Names  →</t>
  </si>
  <si>
    <t xml:space="preserve">Fieldnote</t>
  </si>
  <si>
    <t xml:space="preserve">Competitor A</t>
  </si>
  <si>
    <t xml:space="preserve">Competitor B</t>
  </si>
  <si>
    <t xml:space="preserve">Competitor C</t>
  </si>
  <si>
    <t xml:space="preserve">Clarity</t>
  </si>
  <si>
    <t xml:space="preserve">Each plan says who it is for, in words that buyer would use.</t>
  </si>
  <si>
    <t xml:space="preserve">Buyers choose a plan by recognising themselves in it, not by comparing feature lists.</t>
  </si>
  <si>
    <t xml:space="preserve">Partly</t>
  </si>
  <si>
    <t xml:space="preserve">Plan names say Starter/Team/Business; only Team says who it is for.</t>
  </si>
  <si>
    <t xml:space="preserve">Yes</t>
  </si>
  <si>
    <t xml:space="preserve">No</t>
  </si>
  <si>
    <t xml:space="preserve">A buyer can tell roughly what they would pay: a price, or for “Contact sales”, what drives the price and where it starts.</t>
  </si>
  <si>
    <t xml:space="preserve">An unanswered price question sends the buyer to a competitor or to a sales call they did not want yet.</t>
  </si>
  <si>
    <t xml:space="preserve">All three self-serve prices shown; Business says “from $149”.</t>
  </si>
  <si>
    <t xml:space="preserve">The value metric (per seat, per job, per account) is named, and it grows with the value the customer gets.</t>
  </si>
  <si>
    <t xml:space="preserve">If the bill grows faster than the value, the customer notices at renewal.</t>
  </si>
  <si>
    <t xml:space="preserve">Per technician, but dispatchers are counted as seats too.</t>
  </si>
  <si>
    <t xml:space="preserve">Billing is plain: monthly or annual, what is charged today, the currency, and whether tax is extra.</t>
  </si>
  <si>
    <t xml:space="preserve">Surprises at checkout are where committed buyers turn back.</t>
  </si>
  <si>
    <t xml:space="preserve">Tax not mentioned; annual toggle shows per-month price with no “billed annually”.</t>
  </si>
  <si>
    <t xml:space="preserve">Plan differences are shown as limits and outcomes a buyer cares about, not a wall of ticks.</t>
  </si>
  <si>
    <t xml:space="preserve">A long comparison table hides the two or three differences that actually decide the choice.</t>
  </si>
  <si>
    <t xml:space="preserve">42-row tick table; the three real differences are rows 3, 17 and 30.</t>
  </si>
  <si>
    <t xml:space="preserve">Choice</t>
  </si>
  <si>
    <t xml:space="preserve">Every plan exists for a distinct buyer; there are no two plans a buyer cannot tell apart.</t>
  </si>
  <si>
    <t xml:space="preserve">A plan nobody can place in their head is a plan that makes the whole page harder.</t>
  </si>
  <si>
    <t xml:space="preserve">One plan is marked as the usual choice, and the page says why.</t>
  </si>
  <si>
    <t xml:space="preserve">A recommendation with a reason is advice. Without the reason it reads as a sales push.</t>
  </si>
  <si>
    <t xml:space="preserve">“Most popular” badge on Team, no reason given.</t>
  </si>
  <si>
    <t xml:space="preserve">It is clear what happens at each limit: an overage charge, an upgrade, or a hard stop.</t>
  </si>
  <si>
    <t xml:space="preserve">Buyers who cannot see the ceiling assume the worst about it.</t>
  </si>
  <si>
    <t xml:space="preserve">Job limit on Starter is not stated anywhere on the page.</t>
  </si>
  <si>
    <t xml:space="preserve">The way in matches how people buy (free plan, trial, demo or pilot), and the page says which.</t>
  </si>
  <si>
    <t xml:space="preserve">A trial offered to buyers who need a demo, or the reverse, loses both.</t>
  </si>
  <si>
    <t xml:space="preserve">14-day trial, no card.</t>
  </si>
  <si>
    <t xml:space="preserve">Proof &amp; risk</t>
  </si>
  <si>
    <t xml:space="preserve">Proof sits near the price and speaks to that plan’s buyer: a result or quote used with written permission.</t>
  </si>
  <si>
    <t xml:space="preserve">Proof about a different kind of customer does not reduce this buyer’s risk.</t>
  </si>
  <si>
    <t xml:space="preserve">Quotes are on the homepage only.</t>
  </si>
  <si>
    <t xml:space="preserve">Risk reducers are stated as actually offered: trial length, what happens when it ends, refunds, cancellation.</t>
  </si>
  <si>
    <t xml:space="preserve">Buyers weigh what they could lose. Say it before they have to ask.</t>
  </si>
  <si>
    <t xml:space="preserve">Trial length stated; what happens at the end is not.</t>
  </si>
  <si>
    <t xml:space="preserve">Not sure</t>
  </si>
  <si>
    <t xml:space="preserve">The FAQ answers the price questions sales hears most often.</t>
  </si>
  <si>
    <t xml:space="preserve">Every question the page answers is one the buyer does not have to leave the page to ask.</t>
  </si>
  <si>
    <t xml:space="preserve">FAQ covers payment methods, not seat counting, which sales hears weekly.</t>
  </si>
  <si>
    <t xml:space="preserve">Security, compliance and procurement details are one click away for plans sold to companies.</t>
  </si>
  <si>
    <t xml:space="preserve">A company buyer often has to satisfy someone else before they can say yes.</t>
  </si>
  <si>
    <t xml:space="preserve">Friction</t>
  </si>
  <si>
    <t xml:space="preserve">Each plan has one next step that fits it (start now, or talk to sales), with no competing buttons.</t>
  </si>
  <si>
    <t xml:space="preserve">Two buttons on one plan split the decision the page just helped the buyer make.</t>
  </si>
  <si>
    <t xml:space="preserve">The monthly/annual switch compares like with like and shows the saving honestly.</t>
  </si>
  <si>
    <t xml:space="preserve">A saving that only appears after mental arithmetic is not a saving the buyer sees.</t>
  </si>
  <si>
    <t xml:space="preserve">Toggle defaults to annual; the monthly price appears only after switching.</t>
  </si>
  <si>
    <t xml:space="preserve">On a phone, every plan and price can be read without sideways scrolling.</t>
  </si>
  <si>
    <t xml:space="preserve">A pricing table built for a wide screen can hide the right-hand plan on a phone.</t>
  </si>
  <si>
    <t xml:space="preserve">Business column cut off at phone width.</t>
  </si>
  <si>
    <t xml:space="preserve">The price and terms at checkout match the pricing page exactly.</t>
  </si>
  <si>
    <t xml:space="preserve">A mismatch at checkout breaks trust at the moment the buyer is about to pay.</t>
  </si>
  <si>
    <t xml:space="preserve">Checked by starting a trial on 2 September.</t>
  </si>
  <si>
    <t xml:space="preserve">Honesty &amp; terms</t>
  </si>
  <si>
    <t xml:space="preserve">For subscriptions: price, billing frequency, renewal and how to cancel are disclosed before billing details are asked for.</t>
  </si>
  <si>
    <t xml:space="preserve">In the US, ROSCA requires clear and conspicuous disclosure of all material terms before billing information is obtained. See Sources.</t>
  </si>
  <si>
    <t xml:space="preserve">Renewal stated in the terms link, not beside the price.</t>
  </si>
  <si>
    <t xml:space="preserve">Cancelling is as simple as signing up; someone who signed up online can cancel online.</t>
  </si>
  <si>
    <t xml:space="preserve">ROSCA requires simple mechanisms to stop recurring charges. California’s automatic renewal law requires online cancellation for consumers who accepted online. See Sources.</t>
  </si>
  <si>
    <t xml:space="preserve">Cancel button in account settings, online.</t>
  </si>
  <si>
    <t xml:space="preserve">Any “was/now” or crossed-out price is one you actually charged, regularly, for a reasonably substantial period.</t>
  </si>
  <si>
    <t xml:space="preserve">The FTC’s Guides Against Deceptive Pricing treat a fictitious former price as a false bargain. See Sources.</t>
  </si>
  <si>
    <t xml:space="preserve">No former-price claims on the page.</t>
  </si>
  <si>
    <t xml:space="preserve">Every figure, logo and customer quote on the page has a source or written permission.</t>
  </si>
  <si>
    <t xml:space="preserve">A claim a buyer can disprove, or a logo used without consent, costs more than it earns.</t>
  </si>
  <si>
    <t xml:space="preserve">“Saves 6 hours a week” has no source we could show.</t>
  </si>
  <si>
    <t xml:space="preserve">Scores  (share of the weighted points available on the checks you answered)</t>
  </si>
  <si>
    <t xml:space="preserve">Total</t>
  </si>
  <si>
    <t xml:space="preserve">Answered</t>
  </si>
  <si>
    <t xml:space="preserve">“Not sure”</t>
  </si>
  <si>
    <t xml:space="preserve">Every “Not sure” is something to go and check. On your own page it usually means nobody owns that part of it.</t>
  </si>
  <si>
    <t xml:space="preserve">Fix these first on your page  (weight × points missed; ties go to the earlier check)</t>
  </si>
  <si>
    <t xml:space="preserve">What you saw</t>
  </si>
  <si>
    <t xml:space="preserve">Points missed</t>
  </si>
  <si>
    <t xml:space="preserve">Your answer</t>
  </si>
  <si>
    <t xml:space="preserve">Competitors that pass</t>
  </si>
  <si>
    <t xml:space="preserve">A fix that two or three competitors already make is table stakes. One that none of them makes is a chance to be the clearest page in your category.</t>
  </si>
  <si>
    <t xml:space="preserve">Diagnose — Competitor Price Grid</t>
  </si>
  <si>
    <t xml:space="preserve">The facts of each price list, with the date you captured them. Prices are monthly unless the column says otherwise.</t>
  </si>
  <si>
    <t xml:space="preserve">Capture from the live page, on one day, and save a screenshot. The first four names come from the Teardown tab; add more in the rows below. Leave a cell blank rather than guessing.</t>
  </si>
  <si>
    <t xml:space="preserve">Company</t>
  </si>
  <si>
    <t xml:space="preserve">Pricing page URL</t>
  </si>
  <si>
    <t xml:space="preserve">Date captured</t>
  </si>
  <si>
    <t xml:space="preserve">Plans</t>
  </si>
  <si>
    <t xml:space="preserve">Value metric</t>
  </si>
  <si>
    <t xml:space="preserve">Free plan or trial</t>
  </si>
  <si>
    <t xml:space="preserve">Entry plan, billed monthly ($/mo)</t>
  </si>
  <si>
    <t xml:space="preserve">Entry plan, billed annually ($/mo)</t>
  </si>
  <si>
    <t xml:space="preserve">Annual saving (auto)</t>
  </si>
  <si>
    <t xml:space="preserve">Top self-serve plan ($/mo)</t>
  </si>
  <si>
    <t xml:space="preserve">Where “Contact sales” starts</t>
  </si>
  <si>
    <t xml:space="preserve">What they lead with</t>
  </si>
  <si>
    <t xml:space="preserve">What they leave out</t>
  </si>
  <si>
    <t xml:space="preserve">Entry price vs yours (auto)</t>
  </si>
  <si>
    <t xml:space="preserve">fieldnote.example/pricing</t>
  </si>
  <si>
    <t xml:space="preserve">Per technician</t>
  </si>
  <si>
    <t xml:space="preserve">14-day trial</t>
  </si>
  <si>
    <t xml:space="preserve">Above 25 technicians</t>
  </si>
  <si>
    <t xml:space="preserve">Scheduling in one screen</t>
  </si>
  <si>
    <t xml:space="preserve">Free plan, 2 users</t>
  </si>
  <si>
    <t xml:space="preserve">Above 50 technicians</t>
  </si>
  <si>
    <t xml:space="preserve">Free plan; payroll add-on</t>
  </si>
  <si>
    <t xml:space="preserve">Per account</t>
  </si>
  <si>
    <t xml:space="preserve">Demo only</t>
  </si>
  <si>
    <t xml:space="preserve">All plans</t>
  </si>
  <si>
    <t xml:space="preserve">Enterprise features</t>
  </si>
  <si>
    <t xml:space="preserve">Per job booked</t>
  </si>
  <si>
    <t xml:space="preserve">30-day trial</t>
  </si>
  <si>
    <t xml:space="preserve">None shown</t>
  </si>
  <si>
    <t xml:space="preserve">Pay for what you book</t>
  </si>
  <si>
    <t xml:space="preserve">“Entry price vs yours” compares entry plans billed monthly: 0.86x means that competitor’s entry plan costs 76% of yours. It is a price comparison, not a value comparison: check that the value metric matches before reading much into it.</t>
  </si>
  <si>
    <t xml:space="preserve">What this tells you  (write it down while the pages are fresh)</t>
  </si>
  <si>
    <t xml:space="preserve">Where do we sit on price against the two competitors buyers mention most?</t>
  </si>
  <si>
    <t xml:space="preserve">What does every competitor show that we do not?</t>
  </si>
  <si>
    <t xml:space="preserve">What does no competitor show that buyers keep asking sales about?</t>
  </si>
  <si>
    <t xml:space="preserve">Design — Price-Test Plan</t>
  </si>
  <si>
    <t xml:space="preserve">Work out, before you start, whether a live test can answer the question, and write down how you will decide.</t>
  </si>
  <si>
    <t xml:space="preserve">1 · The test</t>
  </si>
  <si>
    <t xml:space="preserve">Test name</t>
  </si>
  <si>
    <t xml:space="preserve">Team plan $49 → $59 for new visitors</t>
  </si>
  <si>
    <t xml:space="preserve">Short enough to use as the row name in the Test Log.</t>
  </si>
  <si>
    <t xml:space="preserve">The change, exactly</t>
  </si>
  <si>
    <t xml:space="preserve">Team plan list price from $49 to $59 per technician per month. Nothing else on the page changes.</t>
  </si>
  <si>
    <t xml:space="preserve">Change one thing. A new price and a new layout together cannot be told apart afterwards.</t>
  </si>
  <si>
    <t xml:space="preserve">Hypothesis</t>
  </si>
  <si>
    <t xml:space="preserve">Small contractors choose Team for dispatch, not price, so a higher price will raise revenue per visitor.</t>
  </si>
  <si>
    <t xml:space="preserve">[Change] will raise revenue per visitor, because [reason].</t>
  </si>
  <si>
    <t xml:space="preserve">Who sees it</t>
  </si>
  <si>
    <t xml:space="preserve">New visitors to the pricing page, split at random. Existing customers keep their price.</t>
  </si>
  <si>
    <t xml:space="preserve">Never test on existing customers’ bills. See section 6.</t>
  </si>
  <si>
    <t xml:space="preserve">What counts as a conversion</t>
  </si>
  <si>
    <t xml:space="preserve">First paid invoice on any plan, within 30 days of the visit.</t>
  </si>
  <si>
    <t xml:space="preserve">Paid, not trial starts: a price that attracts trials can still lose revenue.</t>
  </si>
  <si>
    <t xml:space="preserve">2 · The numbers  (inputs)</t>
  </si>
  <si>
    <t xml:space="preserve">Current price, per conversion ($)</t>
  </si>
  <si>
    <t xml:space="preserve">What one conversion is worth today: first month, first year, or average first invoice. Use the same basis for both prices.</t>
  </si>
  <si>
    <t xml:space="preserve">Test price, per conversion ($)</t>
  </si>
  <si>
    <t xml:space="preserve">Same basis as the current price.</t>
  </si>
  <si>
    <t xml:space="preserve">Conversion today (visitor → paid)</t>
  </si>
  <si>
    <t xml:space="preserve">From your own analytics, over at least a month. Fieldnote’s 2.0% is invented.</t>
  </si>
  <si>
    <t xml:space="preserve">Your best guess: conversion at the test price</t>
  </si>
  <si>
    <t xml:space="preserve">An honest guess. The break-even line below tells you how far it can fall before the test price loses revenue.</t>
  </si>
  <si>
    <t xml:space="preserve">Pricing page visitors per week</t>
  </si>
  <si>
    <t xml:space="preserve">Unique visitors to the pricing page, from your analytics.</t>
  </si>
  <si>
    <t xml:space="preserve">Share of those visitors in the test</t>
  </si>
  <si>
    <t xml:space="preserve">Usually 100%, split evenly between the two prices.</t>
  </si>
  <si>
    <t xml:space="preserve">Significance level (α)</t>
  </si>
  <si>
    <t xml:space="preserve">0.05 is the convention: a 5% chance of calling a difference that is not there.</t>
  </si>
  <si>
    <t xml:space="preserve">Power</t>
  </si>
  <si>
    <t xml:space="preserve">0.80 is the convention: an 80% chance of detecting the difference if it is real.</t>
  </si>
  <si>
    <t xml:space="preserve">Weeks you could run it</t>
  </si>
  <si>
    <t xml:space="preserve">Whole weeks, so every day of the week is counted equally. Eight is my rule of thumb for the longest a price test stays clean.</t>
  </si>
  <si>
    <t xml:space="preserve">3 · What the numbers say  (auto)</t>
  </si>
  <si>
    <t xml:space="preserve">Price change</t>
  </si>
  <si>
    <t xml:space="preserve">Positive is a rise.</t>
  </si>
  <si>
    <t xml:space="preserve">Break-even conversion at the test price</t>
  </si>
  <si>
    <t xml:space="preserve">Below this, the test price earns less per visitor than today’s price.</t>
  </si>
  <si>
    <t xml:space="preserve">…which is a change in conversion of</t>
  </si>
  <si>
    <t xml:space="preserve">A 20% price rise breaks even if conversion falls by no more than about 17%. The arithmetic is not symmetric.</t>
  </si>
  <si>
    <t xml:space="preserve">Revenue per visitor today</t>
  </si>
  <si>
    <t xml:space="preserve">Revenue per visitor at the test price (your guess)</t>
  </si>
  <si>
    <t xml:space="preserve">Expected change in revenue per visitor</t>
  </si>
  <si>
    <t xml:space="preserve">If this is negative, your own guess says the test price loses. Test only if you doubt the guess.</t>
  </si>
  <si>
    <t xml:space="preserve">Visitors needed in each arm</t>
  </si>
  <si>
    <t xml:space="preserve">For a two-sided test on revenue per visitor at your α and power. Method on the Sources tab.</t>
  </si>
  <si>
    <t xml:space="preserve">Weeks needed</t>
  </si>
  <si>
    <t xml:space="preserve">Both arms together, at your weekly traffic, rounded up to whole weeks.</t>
  </si>
  <si>
    <t xml:space="preserve">Smallest change you could detect in your weeks</t>
  </si>
  <si>
    <t xml:space="preserve">Approximate: the change in revenue per visitor your traffic could reliably detect in the weeks you have. Smaller real changes will look like noise.</t>
  </si>
  <si>
    <t xml:space="preserve">Verdict</t>
  </si>
  <si>
    <t xml:space="preserve">Fieldnote’s result is not unusual. With a few thousand pricing-page visitors a week and a conversion rate of a few percent, only large changes in revenue per visitor show up in a live test within a couple of months. The workbook tells you where you stand before you start rather than after.</t>
  </si>
  <si>
    <t xml:space="preserve">4 · Decision rules  (written before launch)</t>
  </si>
  <si>
    <t xml:space="preserve">Keep the test price if</t>
  </si>
  <si>
    <t xml:space="preserve">Revenue per visitor at the test price is higher, with p below α, at the full planned size.</t>
  </si>
  <si>
    <t xml:space="preserve">Keep the current price if</t>
  </si>
  <si>
    <t xml:space="preserve">Revenue per visitor is lower at the test price, or there is no clear difference at the planned size.</t>
  </si>
  <si>
    <t xml:space="preserve">Stop early only if</t>
  </si>
  <si>
    <t xml:space="preserve">A guardrail below is breached. Never stop because the result looks good: checking repeatedly and stopping at the first significant reading inflates false positives.</t>
  </si>
  <si>
    <t xml:space="preserve">Guardrails</t>
  </si>
  <si>
    <t xml:space="preserve">Refunds and cancellations in the first 30 days; discount requests to sales; support tickets about price.</t>
  </si>
  <si>
    <t xml:space="preserve">Retention check</t>
  </si>
  <si>
    <t xml:space="preserve">Compare 90-day retention of each arm’s customers before making the price permanent.</t>
  </si>
  <si>
    <t xml:space="preserve">Read date</t>
  </si>
  <si>
    <t xml:space="preserve">[Date, set now]</t>
  </si>
  <si>
    <t xml:space="preserve">Owner, and the one approver</t>
  </si>
  <si>
    <t xml:space="preserve">[Name]  ·  [Name]</t>
  </si>
  <si>
    <t xml:space="preserve">5 · When a live test cannot answer it</t>
  </si>
  <si>
    <t xml:space="preserve">Option</t>
  </si>
  <si>
    <t xml:space="preserve">How</t>
  </si>
  <si>
    <t xml:space="preserve">Its weakness, to write down</t>
  </si>
  <si>
    <t xml:space="preserve">Ask before you charge</t>
  </si>
  <si>
    <t xml:space="preserve">Run the four price questions through the free AAJ Price Sensitivity Analyzer (aajconsult.com/tools/price-sensitivity-analyzer). It gives the range buyers say is acceptable.</t>
  </si>
  <si>
    <t xml:space="preserve">What people say about a price is not what they pay. Use it to rule prices out, not to pick one.</t>
  </si>
  <si>
    <t xml:space="preserve">Change it for new customers, then compare periods</t>
  </si>
  <si>
    <t xml:space="preserve">Move every new customer to the new price on one date, and compare equal whole-week periods before and after. Log it as “Before-after”.</t>
  </si>
  <si>
    <t xml:space="preserve">Anything else that changed in those weeks (season, a campaign, a competitor’s move) is mixed into the result. Write those down, and compare against the same weeks last year if you can.</t>
  </si>
  <si>
    <t xml:space="preserve">Quote it in sales-led deals</t>
  </si>
  <si>
    <t xml:space="preserve">Quote the new price to the next set of qualified deals and log the win rate and the discounts asked for. Log it as “Sales quotes”.</t>
  </si>
  <si>
    <t xml:space="preserve">Small numbers, and the rep’s conviction about the price shows in the result. Read it as direction, not proof.</t>
  </si>
  <si>
    <t xml:space="preserve">Test a bigger change</t>
  </si>
  <si>
    <t xml:space="preserve">A bigger difference needs far fewer visitors: the required sample shrinks with the square of the effect.</t>
  </si>
  <si>
    <t xml:space="preserve">A bigger change is a bigger bet. Write down how you would reverse it.</t>
  </si>
  <si>
    <t xml:space="preserve">6 · Rules that apply whatever you test</t>
  </si>
  <si>
    <t xml:space="preserve">•  Test on new visitors only. Existing customers’ prices change with notice, never as an experiment.</t>
  </si>
  <si>
    <t xml:space="preserve">•  Anyone who saw the lower price during a test can have it. It costs little, and it is what a customer who compares notes would expect.</t>
  </si>
  <si>
    <t xml:space="preserve">•  US subscriptions: ROSCA requires clear disclosure of all material terms before taking billing information, express informed consent before charging, and a simple way to stop recurring charges.</t>
  </si>
  <si>
    <t xml:space="preserve">•  California consumers: the automatic renewal law requires notice between 7 and 30 days before a change in the amount charged takes effect, for contracts entered, amended or extended on or after 1 July 2025, and online cancellation for online signups.</t>
  </si>
  <si>
    <t xml:space="preserve">•  The FTC’s 2024 “click to cancel” amendments were vacated by the Eighth Circuit in 2025. The FTC opened new rulemaking in March 2026; check the status before relying on either.</t>
  </si>
  <si>
    <t xml:space="preserve">•  Outside the US, check local rules before running any price test. I am not a lawyer; see the Sources tab.</t>
  </si>
  <si>
    <t xml:space="preserve">Execute — Price-Test Log</t>
  </si>
  <si>
    <t xml:space="preserve">One row per test. Write the planned size before launch; read the result against it.</t>
  </si>
  <si>
    <t xml:space="preserve">Revenue is what converters actually paid, on the same basis as the price (first month, first year, or first invoice). The p-value compares revenue per visitor and assumes each conversion in an arm is worth about the same; if the arms differ a lot in plan mix, treat it as approximate. For “Before-after” and “Sales quotes”, nothing was randomised, so anything else that changed is mixed into the result.</t>
  </si>
  <si>
    <t xml:space="preserve">ID (auto)</t>
  </si>
  <si>
    <t xml:space="preserve">Start</t>
  </si>
  <si>
    <t xml:space="preserve">End</t>
  </si>
  <si>
    <t xml:space="preserve">Days (auto)</t>
  </si>
  <si>
    <t xml:space="preserve">Price A ($)</t>
  </si>
  <si>
    <t xml:space="preserve">Price B ($)</t>
  </si>
  <si>
    <t xml:space="preserve">Visitors A</t>
  </si>
  <si>
    <t xml:space="preserve">Conversions A</t>
  </si>
  <si>
    <t xml:space="preserve">Revenue A ($)</t>
  </si>
  <si>
    <t xml:space="preserve">Visitors B</t>
  </si>
  <si>
    <t xml:space="preserve">Conversions B</t>
  </si>
  <si>
    <t xml:space="preserve">Revenue B ($)</t>
  </si>
  <si>
    <t xml:space="preserve">Planned visitors per arm</t>
  </si>
  <si>
    <t xml:space="preserve">Conversion A (auto)</t>
  </si>
  <si>
    <t xml:space="preserve">Conversion B (auto)</t>
  </si>
  <si>
    <t xml:space="preserve">Revenue / visitor A (auto)</t>
  </si>
  <si>
    <t xml:space="preserve">Revenue / visitor B (auto)</t>
  </si>
  <si>
    <t xml:space="preserve">Change in revenue / visitor (auto)</t>
  </si>
  <si>
    <t xml:space="preserve">p-value (auto)</t>
  </si>
  <si>
    <t xml:space="preserve">Read-out (auto)</t>
  </si>
  <si>
    <t xml:space="preserve">Decision</t>
  </si>
  <si>
    <t xml:space="preserve">Retention check (auto)</t>
  </si>
  <si>
    <t xml:space="preserve">Retained A</t>
  </si>
  <si>
    <t xml:space="preserve">Retained B</t>
  </si>
  <si>
    <t xml:space="preserve">What we learned</t>
  </si>
  <si>
    <t xml:space="preserve">Live A/B</t>
  </si>
  <si>
    <t xml:space="preserve">Undecided</t>
  </si>
  <si>
    <t xml:space="preserve">Up 14% on revenue per visitor after six weeks, but at 7% of the planned size. Not a result. Moved to a before-after test.</t>
  </si>
  <si>
    <t xml:space="preserve">Team plan $59 for all new customers from 1 Aug</t>
  </si>
  <si>
    <t xml:space="preserve">Before-after</t>
  </si>
  <si>
    <t xml:space="preserve">Keep B</t>
  </si>
  <si>
    <t xml:space="preserve">Rule written before the change: keep $59 unless revenue per visitor falls or 90-day retention drops. Neither has so far. Two campaigns ran in the after period, so the 8% is direction, not proof. Before: 6 Jun–31 Jul; after: 1 Aug–26 Sep.</t>
  </si>
  <si>
    <t xml:space="preserve">Retention check: 90 days after the end date by default. Enter the share of each arm’s new customers still paying on that date. A price that converts well but churns faster has not won yet.</t>
  </si>
  <si>
    <t xml:space="preserve">Sources &amp; Method</t>
  </si>
  <si>
    <t xml:space="preserve">Where each rule and formula comes from. Checked September 2026.</t>
  </si>
  <si>
    <t xml:space="preserve">Method</t>
  </si>
  <si>
    <t xml:space="preserve">Break-even conversion</t>
  </si>
  <si>
    <t xml:space="preserve">Arithmetic: revenue per visitor is price × conversion, so the test price breaks even when conversion × price is unchanged. Break-even conversion = today’s conversion × current price ÷ test price.</t>
  </si>
  <si>
    <t xml:space="preserve">Visitors needed per arm</t>
  </si>
  <si>
    <t xml:space="preserve">n = (z₁₋α/₂ + z₁₋β)² × (σ²A + σ²B) ÷ Δ², where Δ is the expected difference in revenue per visitor and σ² = price² × p × (1 − p) is the variance of revenue per visitor when each conversion is worth the price. The (z + z)² form is the standard sample-size formula for a two-sided test: NIST/SEMATECH e-Handbook of Statistical Methods, 7.2.2.2 “Sample sizes required”, https://www.itl.nist.gov/div898/handbook/prc/section2/prc222.htm</t>
  </si>
  <si>
    <t xml:space="preserve">p-value in the Test Log</t>
  </si>
  <si>
    <t xml:space="preserve">Two-sample z-test on the difference in revenue per visitor, using the same variance, with each arm’s average revenue per conversion as the price. Two-sided. See The Book of Statistical Proofs, “Two-sample z-test for independent observations”, https://statproofbook.github.io/P/ugkv-ztest2.html</t>
  </si>
  <si>
    <t xml:space="preserve">Smallest detectable change</t>
  </si>
  <si>
    <t xml:space="preserve">The same formula solved for Δ, using today’s variance for both arms. It is an approximation, shown to help decide whether a test is worth starting.</t>
  </si>
  <si>
    <t xml:space="preserve">Why not stop early</t>
  </si>
  <si>
    <t xml:space="preserve">Evan Miller, “How Not To Run An A/B Test”: checking a running test repeatedly and stopping when it first looks significant makes a nominal 5% false-positive rate far higher. His advice is to decide the sample size in advance. https://www.evanmiller.org/how-not-to-run-an-ab-test.html</t>
  </si>
  <si>
    <t xml:space="preserve">Rules</t>
  </si>
  <si>
    <t xml:space="preserve">ROSCA (US)</t>
  </si>
  <si>
    <t xml:space="preserve">15 U.S.C. § 8403: for negative option (recurring) charges online, the seller must clearly and conspicuously disclose all material terms before obtaining billing information, obtain express informed consent before charging, and provide simple mechanisms to stop recurring charges. https://www.law.cornell.edu/uscode/text/15/8403</t>
  </si>
  <si>
    <t xml:space="preserve">FTC click-to-cancel status</t>
  </si>
  <si>
    <t xml:space="preserve">The FTC’s 2024 amendments to the Negative Option Rule were vacated by the US Court of Appeals for the Eighth Circuit in July 2025. The FTC published an advance notice of proposed rulemaking on 13 March 2026. No replacement rule was in force when this workbook was checked. https://www.ftc.gov/legal-library/browse/rules/negative-option-rule</t>
  </si>
  <si>
    <t xml:space="preserve">California automatic renewal law</t>
  </si>
  <si>
    <t xml:space="preserve">Cal. Bus. &amp; Prof. Code § 17602: notice no less than 7 and no more than 30 days before a change in the amount charged takes effect (for contracts entered, amended or extended on or after 1 July 2025), and online termination for consumers who accepted online, § 17602(d)(1). “Consumer” means an individual buying for personal, family or household purposes, § 17601. https://law.justia.com/codes/california/code-bpc/division-7/part-3/chapter-1/article-9/section-17602/</t>
  </si>
  <si>
    <t xml:space="preserve">Former-price comparisons</t>
  </si>
  <si>
    <t xml:space="preserve">FTC Guides Against Deceptive Pricing, 16 CFR § 233.1: a former price supports a comparison only if it is the actual, bona fide price at which the item was offered to the public on a regular basis for a reasonably substantial period of time. https://www.ecfr.gov/current/title-16/chapter-I/subchapter-B/part-233/section-233.1</t>
  </si>
  <si>
    <t xml:space="preserve">What is mine, not a source</t>
  </si>
  <si>
    <t xml:space="preserve">Judgement</t>
  </si>
  <si>
    <t xml:space="preserve">The 21 checks and their weights, the eight-week rule of thumb, the 90-day retention check and the alternatives in section 5 of the Test Plan are my practice from reviewing pricing pages. They are not benchmarks, and nothing in this workbook claims a conversion effect for any of them.</t>
  </si>
  <si>
    <t xml:space="preserve">Not legal advice</t>
  </si>
  <si>
    <t xml:space="preserve">I am not a lawyer. The rules above are summaries to start from; check them with counsel for where you sell.</t>
  </si>
</sst>
</file>

<file path=xl/styles.xml><?xml version="1.0" encoding="utf-8"?>
<styleSheet xmlns="http://schemas.openxmlformats.org/spreadsheetml/2006/main">
  <numFmts count="14">
    <numFmt numFmtId="164" formatCode="General"/>
    <numFmt numFmtId="165" formatCode="General"/>
    <numFmt numFmtId="166" formatCode="0%"/>
    <numFmt numFmtId="167" formatCode="yyyy\-mm\-dd"/>
    <numFmt numFmtId="168" formatCode="0"/>
    <numFmt numFmtId="169" formatCode="\$#,##0"/>
    <numFmt numFmtId="170" formatCode="0.00\x"/>
    <numFmt numFmtId="171" formatCode="\$#,##0.00"/>
    <numFmt numFmtId="172" formatCode="0.00%"/>
    <numFmt numFmtId="173" formatCode="#,##0"/>
    <numFmt numFmtId="174" formatCode="0.00"/>
    <numFmt numFmtId="175" formatCode="\+0.0%;\-0.0%;0.0%"/>
    <numFmt numFmtId="176" formatCode="\$#,##0.000"/>
    <numFmt numFmtId="177" formatCode="0.000"/>
  </numFmts>
  <fonts count="21">
    <font>
      <sz val="11"/>
      <color theme="1"/>
      <name val="Calibri"/>
      <family val="2"/>
      <charset val="1"/>
    </font>
    <font>
      <sz val="10"/>
      <name val="Arial"/>
      <family val="0"/>
    </font>
    <font>
      <sz val="10"/>
      <name val="Arial"/>
      <family val="0"/>
    </font>
    <font>
      <sz val="10"/>
      <name val="Arial"/>
      <family val="0"/>
    </font>
    <font>
      <b val="true"/>
      <sz val="15"/>
      <color rgb="FFFBA800"/>
      <name val="Arial"/>
      <family val="0"/>
      <charset val="1"/>
    </font>
    <font>
      <b val="true"/>
      <sz val="15"/>
      <color rgb="FFFFFFFF"/>
      <name val="Arial"/>
      <family val="0"/>
      <charset val="1"/>
    </font>
    <font>
      <sz val="10"/>
      <color rgb="FFFFFFFF"/>
      <name val="Arial"/>
      <family val="0"/>
      <charset val="1"/>
    </font>
    <font>
      <b val="true"/>
      <sz val="13"/>
      <color rgb="FF0B182D"/>
      <name val="Arial"/>
      <family val="0"/>
      <charset val="1"/>
    </font>
    <font>
      <sz val="10"/>
      <color rgb="FF5B6470"/>
      <name val="Arial"/>
      <family val="0"/>
      <charset val="1"/>
    </font>
    <font>
      <b val="true"/>
      <sz val="12"/>
      <color rgb="FF0B182D"/>
      <name val="Arial"/>
      <family val="0"/>
      <charset val="1"/>
    </font>
    <font>
      <b val="true"/>
      <sz val="10"/>
      <color rgb="FFFFFFFF"/>
      <name val="Arial"/>
      <family val="0"/>
      <charset val="1"/>
    </font>
    <font>
      <b val="true"/>
      <sz val="10"/>
      <color rgb="FFF36F01"/>
      <name val="Arial"/>
      <family val="0"/>
      <charset val="1"/>
    </font>
    <font>
      <b val="true"/>
      <sz val="10"/>
      <color rgb="FF0B182D"/>
      <name val="Arial"/>
      <family val="0"/>
      <charset val="1"/>
    </font>
    <font>
      <sz val="10"/>
      <color rgb="FF1A1A1A"/>
      <name val="Arial"/>
      <family val="0"/>
      <charset val="1"/>
    </font>
    <font>
      <b val="true"/>
      <sz val="10"/>
      <color rgb="FF0000FF"/>
      <name val="Arial"/>
      <family val="0"/>
      <charset val="1"/>
    </font>
    <font>
      <sz val="9"/>
      <color rgb="FF5B6470"/>
      <name val="Arial"/>
      <family val="0"/>
      <charset val="1"/>
    </font>
    <font>
      <b val="true"/>
      <sz val="11"/>
      <color rgb="FFFFFFFF"/>
      <name val="Arial"/>
      <family val="0"/>
      <charset val="1"/>
    </font>
    <font>
      <sz val="10"/>
      <color rgb="FF0B182D"/>
      <name val="Arial"/>
      <family val="0"/>
      <charset val="1"/>
    </font>
    <font>
      <b val="true"/>
      <sz val="10"/>
      <color rgb="FF008000"/>
      <name val="Arial"/>
      <family val="0"/>
      <charset val="1"/>
    </font>
    <font>
      <b val="true"/>
      <sz val="10"/>
      <color rgb="FF1A1A1A"/>
      <name val="Arial"/>
      <family val="0"/>
      <charset val="1"/>
    </font>
    <font>
      <b val="true"/>
      <sz val="11"/>
      <color rgb="FF0B182D"/>
      <name val="Arial"/>
      <family val="0"/>
      <charset val="1"/>
    </font>
  </fonts>
  <fills count="7">
    <fill>
      <patternFill patternType="none"/>
    </fill>
    <fill>
      <patternFill patternType="gray125"/>
    </fill>
    <fill>
      <patternFill patternType="solid">
        <fgColor rgb="FF0B182D"/>
        <bgColor rgb="FF1A1A1A"/>
      </patternFill>
    </fill>
    <fill>
      <patternFill patternType="solid">
        <fgColor rgb="FFF36F01"/>
        <bgColor rgb="FFFBA800"/>
      </patternFill>
    </fill>
    <fill>
      <patternFill patternType="solid">
        <fgColor rgb="FFF4F6F9"/>
        <bgColor rgb="FFEEF1F5"/>
      </patternFill>
    </fill>
    <fill>
      <patternFill patternType="solid">
        <fgColor rgb="FFFFF3B0"/>
        <bgColor rgb="FFEEF1F5"/>
      </patternFill>
    </fill>
    <fill>
      <patternFill patternType="solid">
        <fgColor rgb="FFEEF1F5"/>
        <bgColor rgb="FFF4F6F9"/>
      </patternFill>
    </fill>
  </fills>
  <borders count="3">
    <border diagonalUp="false" diagonalDown="false">
      <left/>
      <right/>
      <top/>
      <bottom/>
      <diagonal/>
    </border>
    <border diagonalUp="false" diagonalDown="false">
      <left style="thin">
        <color rgb="FFD9DEE5"/>
      </left>
      <right style="thin">
        <color rgb="FFD9DEE5"/>
      </right>
      <top style="thin">
        <color rgb="FFD9DEE5"/>
      </top>
      <bottom style="thin">
        <color rgb="FFD9DEE5"/>
      </bottom>
      <diagonal/>
    </border>
    <border diagonalUp="false" diagonalDown="false">
      <left style="thin">
        <color rgb="FFD9DEE5"/>
      </left>
      <right/>
      <top style="thin">
        <color rgb="FFD9DEE5"/>
      </top>
      <bottom style="thin">
        <color rgb="FFD9DE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12" fillId="4"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5"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2" fillId="6"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5" fontId="12" fillId="0" borderId="1" xfId="0" applyFont="true" applyBorder="true" applyAlignment="true" applyProtection="false">
      <alignment horizontal="general" vertical="top" textRotation="0" wrapText="true" indent="0" shrinkToFit="false"/>
      <protection locked="true" hidden="false"/>
    </xf>
    <xf numFmtId="165" fontId="15" fillId="0" borderId="1"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5" fontId="17" fillId="0" borderId="1" xfId="0" applyFont="true" applyBorder="tru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general" vertical="top" textRotation="0" wrapText="true" indent="0" shrinkToFit="false"/>
      <protection locked="true" hidden="false"/>
    </xf>
    <xf numFmtId="167" fontId="14" fillId="5" borderId="1" xfId="0" applyFont="true" applyBorder="true" applyAlignment="true" applyProtection="false">
      <alignment horizontal="general" vertical="top" textRotation="0" wrapText="true" indent="0" shrinkToFit="false"/>
      <protection locked="true" hidden="false"/>
    </xf>
    <xf numFmtId="168" fontId="14" fillId="5" borderId="1" xfId="0" applyFont="true" applyBorder="true" applyAlignment="true" applyProtection="false">
      <alignment horizontal="general" vertical="top" textRotation="0" wrapText="true" indent="0" shrinkToFit="false"/>
      <protection locked="true" hidden="false"/>
    </xf>
    <xf numFmtId="169" fontId="14" fillId="5" borderId="1" xfId="0" applyFont="true" applyBorder="true" applyAlignment="true" applyProtection="false">
      <alignment horizontal="general" vertical="top" textRotation="0" wrapText="true" indent="0" shrinkToFit="false"/>
      <protection locked="true" hidden="false"/>
    </xf>
    <xf numFmtId="170" fontId="12"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4" fillId="5" borderId="2" xfId="0" applyFont="true" applyBorder="true" applyAlignment="true" applyProtection="false">
      <alignment horizontal="general" vertical="top" textRotation="0" wrapText="true" indent="0" shrinkToFit="false"/>
      <protection locked="true" hidden="false"/>
    </xf>
    <xf numFmtId="171" fontId="14" fillId="5" borderId="1" xfId="0" applyFont="true" applyBorder="true" applyAlignment="true" applyProtection="false">
      <alignment horizontal="general" vertical="top" textRotation="0" wrapText="true" indent="0" shrinkToFit="false"/>
      <protection locked="true" hidden="false"/>
    </xf>
    <xf numFmtId="172" fontId="14" fillId="5" borderId="1" xfId="0" applyFont="true" applyBorder="true" applyAlignment="true" applyProtection="false">
      <alignment horizontal="general" vertical="top" textRotation="0" wrapText="true" indent="0" shrinkToFit="false"/>
      <protection locked="true" hidden="false"/>
    </xf>
    <xf numFmtId="173" fontId="14" fillId="5" borderId="1" xfId="0" applyFont="true" applyBorder="true" applyAlignment="true" applyProtection="false">
      <alignment horizontal="general" vertical="top" textRotation="0" wrapText="true" indent="0" shrinkToFit="false"/>
      <protection locked="true" hidden="false"/>
    </xf>
    <xf numFmtId="166" fontId="14" fillId="5" borderId="1" xfId="0" applyFont="true" applyBorder="true" applyAlignment="true" applyProtection="false">
      <alignment horizontal="general" vertical="top" textRotation="0" wrapText="true" indent="0" shrinkToFit="false"/>
      <protection locked="true" hidden="false"/>
    </xf>
    <xf numFmtId="174" fontId="14" fillId="5"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75" fontId="20" fillId="0" borderId="1" xfId="0" applyFont="true" applyBorder="true" applyAlignment="true" applyProtection="false">
      <alignment horizontal="general" vertical="top" textRotation="0" wrapText="true" indent="0" shrinkToFit="false"/>
      <protection locked="true" hidden="false"/>
    </xf>
    <xf numFmtId="172" fontId="20" fillId="0" borderId="1" xfId="0" applyFont="true" applyBorder="true" applyAlignment="true" applyProtection="false">
      <alignment horizontal="general" vertical="top" textRotation="0" wrapText="true" indent="0" shrinkToFit="false"/>
      <protection locked="true" hidden="false"/>
    </xf>
    <xf numFmtId="176" fontId="20" fillId="0" borderId="1" xfId="0" applyFont="true" applyBorder="true" applyAlignment="true" applyProtection="false">
      <alignment horizontal="general" vertical="top" textRotation="0" wrapText="true" indent="0" shrinkToFit="false"/>
      <protection locked="true" hidden="false"/>
    </xf>
    <xf numFmtId="173" fontId="20" fillId="0" borderId="1" xfId="0" applyFont="true" applyBorder="true" applyAlignment="true" applyProtection="false">
      <alignment horizontal="general" vertical="top" textRotation="0" wrapText="true" indent="0" shrinkToFit="false"/>
      <protection locked="true" hidden="false"/>
    </xf>
    <xf numFmtId="166" fontId="2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0" fillId="6" borderId="2" xfId="0" applyFont="true" applyBorder="true" applyAlignment="true" applyProtection="false">
      <alignment horizontal="general" vertical="top" textRotation="0" wrapText="true" indent="0" shrinkToFit="false"/>
      <protection locked="true" hidden="false"/>
    </xf>
    <xf numFmtId="168" fontId="12" fillId="0" borderId="1" xfId="0" applyFont="true" applyBorder="true" applyAlignment="true" applyProtection="false">
      <alignment horizontal="general" vertical="top" textRotation="0" wrapText="true" indent="0" shrinkToFit="false"/>
      <protection locked="true" hidden="false"/>
    </xf>
    <xf numFmtId="172" fontId="12" fillId="0" borderId="1" xfId="0" applyFont="true" applyBorder="true" applyAlignment="true" applyProtection="false">
      <alignment horizontal="general" vertical="top" textRotation="0" wrapText="true" indent="0" shrinkToFit="false"/>
      <protection locked="true" hidden="false"/>
    </xf>
    <xf numFmtId="176" fontId="12" fillId="0" borderId="1" xfId="0" applyFont="true" applyBorder="true" applyAlignment="true" applyProtection="false">
      <alignment horizontal="general" vertical="top" textRotation="0" wrapText="true" indent="0" shrinkToFit="false"/>
      <protection locked="true" hidden="false"/>
    </xf>
    <xf numFmtId="175" fontId="12" fillId="0" borderId="1" xfId="0" applyFont="true" applyBorder="true" applyAlignment="true" applyProtection="false">
      <alignment horizontal="general" vertical="top" textRotation="0" wrapText="true" indent="0" shrinkToFit="false"/>
      <protection locked="true" hidden="false"/>
    </xf>
    <xf numFmtId="177" fontId="12" fillId="0" borderId="1" xfId="0" applyFont="true" applyBorder="true" applyAlignment="true" applyProtection="false">
      <alignment horizontal="general" vertical="top" textRotation="0" wrapText="tru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9"/>
      <rgbColor rgb="FFEEF1F5"/>
      <rgbColor rgb="FF660066"/>
      <rgbColor rgb="FFFF8080"/>
      <rgbColor rgb="FF0066CC"/>
      <rgbColor rgb="FFD9DEE5"/>
      <rgbColor rgb="FF000080"/>
      <rgbColor rgb="FFFF00FF"/>
      <rgbColor rgb="FFFFFF00"/>
      <rgbColor rgb="FF00FFFF"/>
      <rgbColor rgb="FF800080"/>
      <rgbColor rgb="FF800000"/>
      <rgbColor rgb="FF008080"/>
      <rgbColor rgb="FF0000FF"/>
      <rgbColor rgb="FF00CCFF"/>
      <rgbColor rgb="FFCCFFFF"/>
      <rgbColor rgb="FFCCFFCC"/>
      <rgbColor rgb="FFFFF3B0"/>
      <rgbColor rgb="FF99CCFF"/>
      <rgbColor rgb="FFFF99CC"/>
      <rgbColor rgb="FFCC99FF"/>
      <rgbColor rgb="FFFFCC99"/>
      <rgbColor rgb="FF3366FF"/>
      <rgbColor rgb="FF33CCCC"/>
      <rgbColor rgb="FF99CC00"/>
      <rgbColor rgb="FFFFCC00"/>
      <rgbColor rgb="FFFBA800"/>
      <rgbColor rgb="FFF36F01"/>
      <rgbColor rgb="FF5B6470"/>
      <rgbColor rgb="FF969696"/>
      <rgbColor rgb="FF003366"/>
      <rgbColor rgb="FF339966"/>
      <rgbColor rgb="FF0B182D"/>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2D"/>
    <pageSetUpPr fitToPage="tru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4" min="4" style="0" width="70"/>
  </cols>
  <sheetData>
    <row r="1" customFormat="false" ht="21.75" hidden="false" customHeight="true" outlineLevel="0" collapsed="false">
      <c r="A1" s="1" t="s">
        <v>0</v>
      </c>
      <c r="B1" s="2"/>
      <c r="C1" s="2"/>
      <c r="D1" s="2"/>
      <c r="E1" s="2"/>
      <c r="F1" s="2"/>
      <c r="G1" s="2"/>
      <c r="H1" s="2"/>
    </row>
    <row r="2" customFormat="false" ht="24" hidden="false" customHeight="true" outlineLevel="0" collapsed="false">
      <c r="A2" s="3" t="s">
        <v>1</v>
      </c>
      <c r="B2" s="2"/>
      <c r="C2" s="2"/>
      <c r="D2" s="2"/>
      <c r="E2" s="2"/>
      <c r="F2" s="2"/>
      <c r="G2" s="2"/>
      <c r="H2" s="2"/>
    </row>
    <row r="3" customFormat="false" ht="19.5" hidden="false" customHeight="true" outlineLevel="0" collapsed="false">
      <c r="A3" s="4" t="s">
        <v>2</v>
      </c>
      <c r="B3" s="5"/>
      <c r="C3" s="5"/>
      <c r="D3" s="5"/>
      <c r="E3" s="5"/>
      <c r="F3" s="5"/>
      <c r="G3" s="5"/>
      <c r="H3" s="5"/>
    </row>
    <row r="5" customFormat="false" ht="16.15" hidden="false" customHeight="false" outlineLevel="0" collapsed="false">
      <c r="B5" s="6" t="s">
        <v>3</v>
      </c>
    </row>
    <row r="6" customFormat="false" ht="61.5" hidden="false" customHeight="true" outlineLevel="0" collapsed="false">
      <c r="B6" s="7" t="s">
        <v>4</v>
      </c>
      <c r="C6" s="7"/>
      <c r="D6" s="7"/>
    </row>
    <row r="7" customFormat="false" ht="61.5" hidden="false" customHeight="true" outlineLevel="0" collapsed="false">
      <c r="B7" s="7" t="s">
        <v>5</v>
      </c>
      <c r="C7" s="7"/>
      <c r="D7" s="7"/>
    </row>
    <row r="9" customFormat="false" ht="15" hidden="false" customHeight="false" outlineLevel="0" collapsed="false">
      <c r="B9" s="8" t="s">
        <v>6</v>
      </c>
    </row>
    <row r="10" customFormat="false" ht="15" hidden="false" customHeight="false" outlineLevel="0" collapsed="false">
      <c r="B10" s="9" t="s">
        <v>7</v>
      </c>
      <c r="C10" s="9" t="s">
        <v>8</v>
      </c>
      <c r="D10" s="9" t="s">
        <v>9</v>
      </c>
    </row>
    <row r="11" customFormat="false" ht="39.75" hidden="false" customHeight="true" outlineLevel="0" collapsed="false">
      <c r="B11" s="10" t="s">
        <v>10</v>
      </c>
      <c r="C11" s="11" t="s">
        <v>11</v>
      </c>
      <c r="D11" s="12" t="s">
        <v>12</v>
      </c>
    </row>
    <row r="12" customFormat="false" ht="39.75" hidden="false" customHeight="true" outlineLevel="0" collapsed="false">
      <c r="B12" s="10" t="s">
        <v>13</v>
      </c>
      <c r="C12" s="11" t="s">
        <v>14</v>
      </c>
      <c r="D12" s="12" t="s">
        <v>15</v>
      </c>
    </row>
    <row r="13" customFormat="false" ht="39.75" hidden="false" customHeight="true" outlineLevel="0" collapsed="false">
      <c r="B13" s="10" t="s">
        <v>16</v>
      </c>
      <c r="C13" s="11" t="s">
        <v>17</v>
      </c>
      <c r="D13" s="12" t="s">
        <v>18</v>
      </c>
    </row>
    <row r="15" customFormat="false" ht="15" hidden="false" customHeight="false" outlineLevel="0" collapsed="false">
      <c r="B15" s="8" t="s">
        <v>19</v>
      </c>
    </row>
    <row r="16" customFormat="false" ht="30" hidden="false" customHeight="true" outlineLevel="0" collapsed="false">
      <c r="B16" s="13" t="s">
        <v>20</v>
      </c>
      <c r="C16" s="13"/>
      <c r="D16" s="13"/>
    </row>
    <row r="17" customFormat="false" ht="30" hidden="false" customHeight="true" outlineLevel="0" collapsed="false">
      <c r="B17" s="13" t="s">
        <v>21</v>
      </c>
      <c r="C17" s="13"/>
      <c r="D17" s="13"/>
    </row>
    <row r="18" customFormat="false" ht="30" hidden="false" customHeight="true" outlineLevel="0" collapsed="false">
      <c r="B18" s="13" t="s">
        <v>22</v>
      </c>
      <c r="C18" s="13"/>
      <c r="D18" s="13"/>
    </row>
    <row r="19" customFormat="false" ht="30" hidden="false" customHeight="true" outlineLevel="0" collapsed="false">
      <c r="B19" s="13" t="s">
        <v>23</v>
      </c>
      <c r="C19" s="13"/>
      <c r="D19" s="13"/>
    </row>
    <row r="20" customFormat="false" ht="30" hidden="false" customHeight="true" outlineLevel="0" collapsed="false">
      <c r="B20" s="13" t="s">
        <v>24</v>
      </c>
      <c r="C20" s="13"/>
      <c r="D20" s="13"/>
    </row>
    <row r="21" customFormat="false" ht="30" hidden="false" customHeight="true" outlineLevel="0" collapsed="false">
      <c r="B21" s="13" t="s">
        <v>25</v>
      </c>
      <c r="C21" s="13"/>
      <c r="D21" s="13"/>
    </row>
    <row r="23" customFormat="false" ht="15" hidden="false" customHeight="false" outlineLevel="0" collapsed="false">
      <c r="B23" s="8" t="s">
        <v>26</v>
      </c>
    </row>
    <row r="24" customFormat="false" ht="23.85" hidden="false" customHeight="false" outlineLevel="0" collapsed="false">
      <c r="B24" s="14" t="s">
        <v>27</v>
      </c>
      <c r="C24" s="12" t="s">
        <v>28</v>
      </c>
    </row>
    <row r="25" customFormat="false" ht="35.05" hidden="false" customHeight="false" outlineLevel="0" collapsed="false">
      <c r="B25" s="15" t="s">
        <v>29</v>
      </c>
      <c r="C25" s="12" t="s">
        <v>30</v>
      </c>
    </row>
    <row r="26" customFormat="false" ht="43.5" hidden="false" customHeight="true" outlineLevel="0" collapsed="false">
      <c r="B26" s="16" t="s">
        <v>31</v>
      </c>
      <c r="C26" s="7" t="s">
        <v>32</v>
      </c>
      <c r="D26" s="7"/>
    </row>
    <row r="28" customFormat="false" ht="30" hidden="false" customHeight="true" outlineLevel="0" collapsed="false">
      <c r="B28" s="17" t="s">
        <v>33</v>
      </c>
      <c r="C28" s="17"/>
      <c r="D28" s="17"/>
    </row>
    <row r="30" customFormat="false" ht="22.35" hidden="false" customHeight="false" outlineLevel="0" collapsed="false">
      <c r="B30" s="18" t="s">
        <v>34</v>
      </c>
    </row>
  </sheetData>
  <mergeCells count="10">
    <mergeCell ref="B6:D6"/>
    <mergeCell ref="B7:D7"/>
    <mergeCell ref="B16:D16"/>
    <mergeCell ref="B17:D17"/>
    <mergeCell ref="B18:D18"/>
    <mergeCell ref="B19:D19"/>
    <mergeCell ref="B20:D20"/>
    <mergeCell ref="B21:D21"/>
    <mergeCell ref="C26:D26"/>
    <mergeCell ref="B28:D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6F01"/>
    <pageSetUpPr fitToPage="true"/>
  </sheetPr>
  <dimension ref="A1:O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4"/>
    <col collapsed="false" customWidth="true" hidden="false" outlineLevel="0" max="4" min="4" style="0" width="46"/>
    <col collapsed="false" customWidth="true" hidden="false" outlineLevel="0" max="5" min="5" style="0" width="44"/>
    <col collapsed="false" customWidth="true" hidden="false" outlineLevel="0" max="6" min="6" style="0" width="8"/>
    <col collapsed="false" customWidth="true" hidden="false" outlineLevel="0" max="7" min="7" style="0" width="13"/>
    <col collapsed="false" customWidth="true" hidden="false" outlineLevel="0" max="8" min="8" style="0" width="30"/>
    <col collapsed="false" customWidth="true" hidden="false" outlineLevel="0" max="11" min="9" style="0" width="13"/>
    <col collapsed="false" customWidth="true" hidden="false" outlineLevel="0" max="12" min="12" style="0" width="4"/>
    <col collapsed="false" customWidth="true" hidden="false" outlineLevel="0" max="13" min="13" style="0" width="11"/>
    <col collapsed="false" customWidth="true" hidden="true" outlineLevel="0" max="14" min="14" style="0" width="10"/>
    <col collapsed="false" customWidth="true" hidden="false" outlineLevel="0" max="15" min="15" style="0" width="12"/>
  </cols>
  <sheetData>
    <row r="1" customFormat="false" ht="21.75" hidden="false" customHeight="true" outlineLevel="0" collapsed="false">
      <c r="A1" s="1" t="s">
        <v>0</v>
      </c>
      <c r="B1" s="2"/>
      <c r="C1" s="2"/>
      <c r="D1" s="2"/>
      <c r="E1" s="2"/>
      <c r="F1" s="2"/>
      <c r="G1" s="2"/>
      <c r="H1" s="2"/>
      <c r="I1" s="2"/>
      <c r="J1" s="2"/>
      <c r="K1" s="2"/>
      <c r="L1" s="2"/>
      <c r="M1" s="2"/>
      <c r="N1" s="2"/>
      <c r="O1" s="2"/>
    </row>
    <row r="2" customFormat="false" ht="24" hidden="false" customHeight="true" outlineLevel="0" collapsed="false">
      <c r="A2" s="3" t="s">
        <v>35</v>
      </c>
      <c r="B2" s="2"/>
      <c r="C2" s="2"/>
      <c r="D2" s="2"/>
      <c r="E2" s="2"/>
      <c r="F2" s="2"/>
      <c r="G2" s="2"/>
      <c r="H2" s="2"/>
      <c r="I2" s="2"/>
      <c r="J2" s="2"/>
      <c r="K2" s="2"/>
      <c r="L2" s="2"/>
      <c r="M2" s="2"/>
      <c r="N2" s="2"/>
      <c r="O2" s="2"/>
    </row>
    <row r="3" customFormat="false" ht="19.5" hidden="false" customHeight="true" outlineLevel="0" collapsed="false">
      <c r="A3" s="4" t="s">
        <v>36</v>
      </c>
      <c r="B3" s="5"/>
      <c r="C3" s="5"/>
      <c r="D3" s="5"/>
      <c r="E3" s="5"/>
      <c r="F3" s="5"/>
      <c r="G3" s="5"/>
      <c r="H3" s="5"/>
      <c r="I3" s="5"/>
      <c r="J3" s="5"/>
      <c r="K3" s="5"/>
      <c r="L3" s="5"/>
      <c r="M3" s="5"/>
      <c r="N3" s="5"/>
      <c r="O3" s="5"/>
    </row>
    <row r="5" customFormat="false" ht="30" hidden="false" customHeight="true" outlineLevel="0" collapsed="false">
      <c r="B5" s="7" t="s">
        <v>37</v>
      </c>
      <c r="C5" s="7"/>
      <c r="D5" s="7"/>
      <c r="E5" s="7"/>
      <c r="F5" s="7"/>
      <c r="G5" s="7"/>
      <c r="H5" s="7"/>
      <c r="I5" s="7"/>
      <c r="J5" s="7"/>
      <c r="K5" s="7"/>
    </row>
    <row r="7" customFormat="false" ht="35.05" hidden="false" customHeight="false" outlineLevel="0" collapsed="false">
      <c r="B7" s="9" t="s">
        <v>38</v>
      </c>
      <c r="C7" s="9" t="s">
        <v>39</v>
      </c>
      <c r="D7" s="9" t="s">
        <v>40</v>
      </c>
      <c r="E7" s="9" t="s">
        <v>41</v>
      </c>
      <c r="F7" s="9" t="s">
        <v>42</v>
      </c>
      <c r="G7" s="9" t="s">
        <v>43</v>
      </c>
      <c r="H7" s="9" t="s">
        <v>44</v>
      </c>
      <c r="I7" s="9" t="s">
        <v>45</v>
      </c>
      <c r="J7" s="9" t="s">
        <v>46</v>
      </c>
      <c r="K7" s="9" t="s">
        <v>47</v>
      </c>
      <c r="M7" s="9" t="s">
        <v>48</v>
      </c>
      <c r="N7" s="9" t="s">
        <v>49</v>
      </c>
      <c r="O7" s="9" t="s">
        <v>50</v>
      </c>
    </row>
    <row r="8" customFormat="false" ht="15" hidden="false" customHeight="false" outlineLevel="0" collapsed="false">
      <c r="D8" s="15" t="s">
        <v>51</v>
      </c>
      <c r="G8" s="19" t="s">
        <v>52</v>
      </c>
      <c r="I8" s="19" t="s">
        <v>53</v>
      </c>
      <c r="J8" s="19" t="s">
        <v>54</v>
      </c>
      <c r="K8" s="19" t="s">
        <v>55</v>
      </c>
    </row>
    <row r="9" customFormat="false" ht="43.5" hidden="false" customHeight="true" outlineLevel="0" collapsed="false">
      <c r="B9" s="20" t="n">
        <v>1</v>
      </c>
      <c r="C9" s="10" t="s">
        <v>56</v>
      </c>
      <c r="D9" s="21" t="s">
        <v>57</v>
      </c>
      <c r="E9" s="18" t="s">
        <v>58</v>
      </c>
      <c r="F9" s="22" t="n">
        <v>3</v>
      </c>
      <c r="G9" s="23" t="s">
        <v>59</v>
      </c>
      <c r="H9" s="19" t="s">
        <v>60</v>
      </c>
      <c r="I9" s="23" t="s">
        <v>61</v>
      </c>
      <c r="J9" s="23" t="s">
        <v>62</v>
      </c>
      <c r="K9" s="23" t="s">
        <v>59</v>
      </c>
      <c r="M9" s="24" t="n">
        <f aca="false">IF(G9="","",F9*(2-IF(G9="Yes",2,IF(G9="Partly",1,0))))</f>
        <v>3</v>
      </c>
      <c r="N9" s="25" t="n">
        <f aca="false">IF(M9="",-1,M9+(29+1-ROW())/1000)</f>
        <v>3.021</v>
      </c>
      <c r="O9" s="24" t="n">
        <f aca="false">COUNTIF(I9:K9,"Yes")</f>
        <v>1</v>
      </c>
    </row>
    <row r="10" customFormat="false" ht="43.5" hidden="false" customHeight="true" outlineLevel="0" collapsed="false">
      <c r="B10" s="20" t="n">
        <v>2</v>
      </c>
      <c r="C10" s="10" t="s">
        <v>56</v>
      </c>
      <c r="D10" s="21" t="s">
        <v>63</v>
      </c>
      <c r="E10" s="18" t="s">
        <v>64</v>
      </c>
      <c r="F10" s="22" t="n">
        <v>3</v>
      </c>
      <c r="G10" s="23" t="s">
        <v>61</v>
      </c>
      <c r="H10" s="19" t="s">
        <v>65</v>
      </c>
      <c r="I10" s="23" t="s">
        <v>61</v>
      </c>
      <c r="J10" s="23" t="s">
        <v>59</v>
      </c>
      <c r="K10" s="23" t="s">
        <v>62</v>
      </c>
      <c r="M10" s="24" t="n">
        <f aca="false">IF(G10="","",F10*(2-IF(G10="Yes",2,IF(G10="Partly",1,0))))</f>
        <v>0</v>
      </c>
      <c r="N10" s="25" t="n">
        <f aca="false">IF(M10="",-1,M10+(29+1-ROW())/1000)</f>
        <v>0.02</v>
      </c>
      <c r="O10" s="24" t="n">
        <f aca="false">COUNTIF(I10:K10,"Yes")</f>
        <v>1</v>
      </c>
    </row>
    <row r="11" customFormat="false" ht="43.5" hidden="false" customHeight="true" outlineLevel="0" collapsed="false">
      <c r="B11" s="20" t="n">
        <v>3</v>
      </c>
      <c r="C11" s="10" t="s">
        <v>56</v>
      </c>
      <c r="D11" s="21" t="s">
        <v>66</v>
      </c>
      <c r="E11" s="18" t="s">
        <v>67</v>
      </c>
      <c r="F11" s="22" t="n">
        <v>3</v>
      </c>
      <c r="G11" s="23" t="s">
        <v>59</v>
      </c>
      <c r="H11" s="19" t="s">
        <v>68</v>
      </c>
      <c r="I11" s="23" t="s">
        <v>61</v>
      </c>
      <c r="J11" s="23" t="s">
        <v>61</v>
      </c>
      <c r="K11" s="23" t="s">
        <v>59</v>
      </c>
      <c r="M11" s="24" t="n">
        <f aca="false">IF(G11="","",F11*(2-IF(G11="Yes",2,IF(G11="Partly",1,0))))</f>
        <v>3</v>
      </c>
      <c r="N11" s="25" t="n">
        <f aca="false">IF(M11="",-1,M11+(29+1-ROW())/1000)</f>
        <v>3.019</v>
      </c>
      <c r="O11" s="24" t="n">
        <f aca="false">COUNTIF(I11:K11,"Yes")</f>
        <v>2</v>
      </c>
    </row>
    <row r="12" customFormat="false" ht="43.5" hidden="false" customHeight="true" outlineLevel="0" collapsed="false">
      <c r="B12" s="20" t="n">
        <v>4</v>
      </c>
      <c r="C12" s="10" t="s">
        <v>56</v>
      </c>
      <c r="D12" s="21" t="s">
        <v>69</v>
      </c>
      <c r="E12" s="18" t="s">
        <v>70</v>
      </c>
      <c r="F12" s="22" t="n">
        <v>2</v>
      </c>
      <c r="G12" s="23" t="s">
        <v>62</v>
      </c>
      <c r="H12" s="19" t="s">
        <v>71</v>
      </c>
      <c r="I12" s="23" t="s">
        <v>61</v>
      </c>
      <c r="J12" s="23" t="s">
        <v>59</v>
      </c>
      <c r="K12" s="23" t="s">
        <v>61</v>
      </c>
      <c r="M12" s="24" t="n">
        <f aca="false">IF(G12="","",F12*(2-IF(G12="Yes",2,IF(G12="Partly",1,0))))</f>
        <v>4</v>
      </c>
      <c r="N12" s="25" t="n">
        <f aca="false">IF(M12="",-1,M12+(29+1-ROW())/1000)</f>
        <v>4.018</v>
      </c>
      <c r="O12" s="24" t="n">
        <f aca="false">COUNTIF(I12:K12,"Yes")</f>
        <v>2</v>
      </c>
    </row>
    <row r="13" customFormat="false" ht="43.5" hidden="false" customHeight="true" outlineLevel="0" collapsed="false">
      <c r="B13" s="20" t="n">
        <v>5</v>
      </c>
      <c r="C13" s="10" t="s">
        <v>56</v>
      </c>
      <c r="D13" s="21" t="s">
        <v>72</v>
      </c>
      <c r="E13" s="18" t="s">
        <v>73</v>
      </c>
      <c r="F13" s="22" t="n">
        <v>2</v>
      </c>
      <c r="G13" s="23" t="s">
        <v>62</v>
      </c>
      <c r="H13" s="19" t="s">
        <v>74</v>
      </c>
      <c r="I13" s="23" t="s">
        <v>59</v>
      </c>
      <c r="J13" s="23" t="s">
        <v>62</v>
      </c>
      <c r="K13" s="23" t="s">
        <v>59</v>
      </c>
      <c r="M13" s="24" t="n">
        <f aca="false">IF(G13="","",F13*(2-IF(G13="Yes",2,IF(G13="Partly",1,0))))</f>
        <v>4</v>
      </c>
      <c r="N13" s="25" t="n">
        <f aca="false">IF(M13="",-1,M13+(29+1-ROW())/1000)</f>
        <v>4.017</v>
      </c>
      <c r="O13" s="24" t="n">
        <f aca="false">COUNTIF(I13:K13,"Yes")</f>
        <v>0</v>
      </c>
    </row>
    <row r="14" customFormat="false" ht="43.5" hidden="false" customHeight="true" outlineLevel="0" collapsed="false">
      <c r="B14" s="20" t="n">
        <v>6</v>
      </c>
      <c r="C14" s="10" t="s">
        <v>75</v>
      </c>
      <c r="D14" s="21" t="s">
        <v>76</v>
      </c>
      <c r="E14" s="18" t="s">
        <v>77</v>
      </c>
      <c r="F14" s="22" t="n">
        <v>2</v>
      </c>
      <c r="G14" s="23" t="s">
        <v>61</v>
      </c>
      <c r="H14" s="19"/>
      <c r="I14" s="23" t="s">
        <v>61</v>
      </c>
      <c r="J14" s="23" t="s">
        <v>59</v>
      </c>
      <c r="K14" s="23" t="s">
        <v>61</v>
      </c>
      <c r="M14" s="24" t="n">
        <f aca="false">IF(G14="","",F14*(2-IF(G14="Yes",2,IF(G14="Partly",1,0))))</f>
        <v>0</v>
      </c>
      <c r="N14" s="25" t="n">
        <f aca="false">IF(M14="",-1,M14+(29+1-ROW())/1000)</f>
        <v>0.016</v>
      </c>
      <c r="O14" s="24" t="n">
        <f aca="false">COUNTIF(I14:K14,"Yes")</f>
        <v>2</v>
      </c>
    </row>
    <row r="15" customFormat="false" ht="43.5" hidden="false" customHeight="true" outlineLevel="0" collapsed="false">
      <c r="B15" s="20" t="n">
        <v>7</v>
      </c>
      <c r="C15" s="10" t="s">
        <v>75</v>
      </c>
      <c r="D15" s="21" t="s">
        <v>78</v>
      </c>
      <c r="E15" s="18" t="s">
        <v>79</v>
      </c>
      <c r="F15" s="22" t="n">
        <v>1</v>
      </c>
      <c r="G15" s="23" t="s">
        <v>59</v>
      </c>
      <c r="H15" s="19" t="s">
        <v>80</v>
      </c>
      <c r="I15" s="23" t="s">
        <v>61</v>
      </c>
      <c r="J15" s="23" t="s">
        <v>61</v>
      </c>
      <c r="K15" s="23" t="s">
        <v>62</v>
      </c>
      <c r="M15" s="24" t="n">
        <f aca="false">IF(G15="","",F15*(2-IF(G15="Yes",2,IF(G15="Partly",1,0))))</f>
        <v>1</v>
      </c>
      <c r="N15" s="25" t="n">
        <f aca="false">IF(M15="",-1,M15+(29+1-ROW())/1000)</f>
        <v>1.015</v>
      </c>
      <c r="O15" s="24" t="n">
        <f aca="false">COUNTIF(I15:K15,"Yes")</f>
        <v>2</v>
      </c>
    </row>
    <row r="16" customFormat="false" ht="43.5" hidden="false" customHeight="true" outlineLevel="0" collapsed="false">
      <c r="B16" s="20" t="n">
        <v>8</v>
      </c>
      <c r="C16" s="10" t="s">
        <v>75</v>
      </c>
      <c r="D16" s="21" t="s">
        <v>81</v>
      </c>
      <c r="E16" s="18" t="s">
        <v>82</v>
      </c>
      <c r="F16" s="22" t="n">
        <v>2</v>
      </c>
      <c r="G16" s="23" t="s">
        <v>62</v>
      </c>
      <c r="H16" s="19" t="s">
        <v>83</v>
      </c>
      <c r="I16" s="23" t="s">
        <v>59</v>
      </c>
      <c r="J16" s="23" t="s">
        <v>62</v>
      </c>
      <c r="K16" s="23" t="s">
        <v>61</v>
      </c>
      <c r="M16" s="24" t="n">
        <f aca="false">IF(G16="","",F16*(2-IF(G16="Yes",2,IF(G16="Partly",1,0))))</f>
        <v>4</v>
      </c>
      <c r="N16" s="25" t="n">
        <f aca="false">IF(M16="",-1,M16+(29+1-ROW())/1000)</f>
        <v>4.014</v>
      </c>
      <c r="O16" s="24" t="n">
        <f aca="false">COUNTIF(I16:K16,"Yes")</f>
        <v>1</v>
      </c>
    </row>
    <row r="17" customFormat="false" ht="43.5" hidden="false" customHeight="true" outlineLevel="0" collapsed="false">
      <c r="B17" s="20" t="n">
        <v>9</v>
      </c>
      <c r="C17" s="10" t="s">
        <v>75</v>
      </c>
      <c r="D17" s="21" t="s">
        <v>84</v>
      </c>
      <c r="E17" s="18" t="s">
        <v>85</v>
      </c>
      <c r="F17" s="22" t="n">
        <v>2</v>
      </c>
      <c r="G17" s="23" t="s">
        <v>61</v>
      </c>
      <c r="H17" s="19" t="s">
        <v>86</v>
      </c>
      <c r="I17" s="23" t="s">
        <v>61</v>
      </c>
      <c r="J17" s="23" t="s">
        <v>61</v>
      </c>
      <c r="K17" s="23" t="s">
        <v>59</v>
      </c>
      <c r="M17" s="24" t="n">
        <f aca="false">IF(G17="","",F17*(2-IF(G17="Yes",2,IF(G17="Partly",1,0))))</f>
        <v>0</v>
      </c>
      <c r="N17" s="25" t="n">
        <f aca="false">IF(M17="",-1,M17+(29+1-ROW())/1000)</f>
        <v>0.013</v>
      </c>
      <c r="O17" s="24" t="n">
        <f aca="false">COUNTIF(I17:K17,"Yes")</f>
        <v>2</v>
      </c>
    </row>
    <row r="18" customFormat="false" ht="43.5" hidden="false" customHeight="true" outlineLevel="0" collapsed="false">
      <c r="B18" s="20" t="n">
        <v>10</v>
      </c>
      <c r="C18" s="10" t="s">
        <v>87</v>
      </c>
      <c r="D18" s="21" t="s">
        <v>88</v>
      </c>
      <c r="E18" s="18" t="s">
        <v>89</v>
      </c>
      <c r="F18" s="22" t="n">
        <v>2</v>
      </c>
      <c r="G18" s="23" t="s">
        <v>62</v>
      </c>
      <c r="H18" s="19" t="s">
        <v>90</v>
      </c>
      <c r="I18" s="23" t="s">
        <v>61</v>
      </c>
      <c r="J18" s="23" t="s">
        <v>59</v>
      </c>
      <c r="K18" s="23" t="s">
        <v>62</v>
      </c>
      <c r="M18" s="24" t="n">
        <f aca="false">IF(G18="","",F18*(2-IF(G18="Yes",2,IF(G18="Partly",1,0))))</f>
        <v>4</v>
      </c>
      <c r="N18" s="25" t="n">
        <f aca="false">IF(M18="",-1,M18+(29+1-ROW())/1000)</f>
        <v>4.012</v>
      </c>
      <c r="O18" s="24" t="n">
        <f aca="false">COUNTIF(I18:K18,"Yes")</f>
        <v>1</v>
      </c>
    </row>
    <row r="19" customFormat="false" ht="43.5" hidden="false" customHeight="true" outlineLevel="0" collapsed="false">
      <c r="B19" s="20" t="n">
        <v>11</v>
      </c>
      <c r="C19" s="10" t="s">
        <v>87</v>
      </c>
      <c r="D19" s="21" t="s">
        <v>91</v>
      </c>
      <c r="E19" s="18" t="s">
        <v>92</v>
      </c>
      <c r="F19" s="22" t="n">
        <v>2</v>
      </c>
      <c r="G19" s="23" t="s">
        <v>59</v>
      </c>
      <c r="H19" s="19" t="s">
        <v>93</v>
      </c>
      <c r="I19" s="23" t="s">
        <v>61</v>
      </c>
      <c r="J19" s="23" t="s">
        <v>59</v>
      </c>
      <c r="K19" s="23" t="s">
        <v>94</v>
      </c>
      <c r="M19" s="24" t="n">
        <f aca="false">IF(G19="","",F19*(2-IF(G19="Yes",2,IF(G19="Partly",1,0))))</f>
        <v>2</v>
      </c>
      <c r="N19" s="25" t="n">
        <f aca="false">IF(M19="",-1,M19+(29+1-ROW())/1000)</f>
        <v>2.011</v>
      </c>
      <c r="O19" s="24" t="n">
        <f aca="false">COUNTIF(I19:K19,"Yes")</f>
        <v>1</v>
      </c>
    </row>
    <row r="20" customFormat="false" ht="43.5" hidden="false" customHeight="true" outlineLevel="0" collapsed="false">
      <c r="B20" s="20" t="n">
        <v>12</v>
      </c>
      <c r="C20" s="10" t="s">
        <v>87</v>
      </c>
      <c r="D20" s="21" t="s">
        <v>95</v>
      </c>
      <c r="E20" s="18" t="s">
        <v>96</v>
      </c>
      <c r="F20" s="22" t="n">
        <v>2</v>
      </c>
      <c r="G20" s="23" t="s">
        <v>59</v>
      </c>
      <c r="H20" s="19" t="s">
        <v>97</v>
      </c>
      <c r="I20" s="23" t="s">
        <v>59</v>
      </c>
      <c r="J20" s="23" t="s">
        <v>62</v>
      </c>
      <c r="K20" s="23" t="s">
        <v>61</v>
      </c>
      <c r="M20" s="24" t="n">
        <f aca="false">IF(G20="","",F20*(2-IF(G20="Yes",2,IF(G20="Partly",1,0))))</f>
        <v>2</v>
      </c>
      <c r="N20" s="25" t="n">
        <f aca="false">IF(M20="",-1,M20+(29+1-ROW())/1000)</f>
        <v>2.01</v>
      </c>
      <c r="O20" s="24" t="n">
        <f aca="false">COUNTIF(I20:K20,"Yes")</f>
        <v>1</v>
      </c>
    </row>
    <row r="21" customFormat="false" ht="43.5" hidden="false" customHeight="true" outlineLevel="0" collapsed="false">
      <c r="B21" s="20" t="n">
        <v>13</v>
      </c>
      <c r="C21" s="10" t="s">
        <v>87</v>
      </c>
      <c r="D21" s="21" t="s">
        <v>98</v>
      </c>
      <c r="E21" s="18" t="s">
        <v>99</v>
      </c>
      <c r="F21" s="22" t="n">
        <v>1</v>
      </c>
      <c r="G21" s="23" t="s">
        <v>94</v>
      </c>
      <c r="H21" s="19"/>
      <c r="I21" s="23" t="s">
        <v>61</v>
      </c>
      <c r="J21" s="23" t="s">
        <v>59</v>
      </c>
      <c r="K21" s="23" t="s">
        <v>62</v>
      </c>
      <c r="M21" s="24" t="n">
        <f aca="false">IF(G21="","",F21*(2-IF(G21="Yes",2,IF(G21="Partly",1,0))))</f>
        <v>2</v>
      </c>
      <c r="N21" s="25" t="n">
        <f aca="false">IF(M21="",-1,M21+(29+1-ROW())/1000)</f>
        <v>2.009</v>
      </c>
      <c r="O21" s="24" t="n">
        <f aca="false">COUNTIF(I21:K21,"Yes")</f>
        <v>1</v>
      </c>
    </row>
    <row r="22" customFormat="false" ht="43.5" hidden="false" customHeight="true" outlineLevel="0" collapsed="false">
      <c r="B22" s="20" t="n">
        <v>14</v>
      </c>
      <c r="C22" s="10" t="s">
        <v>100</v>
      </c>
      <c r="D22" s="21" t="s">
        <v>101</v>
      </c>
      <c r="E22" s="18" t="s">
        <v>102</v>
      </c>
      <c r="F22" s="22" t="n">
        <v>2</v>
      </c>
      <c r="G22" s="23" t="s">
        <v>61</v>
      </c>
      <c r="H22" s="19"/>
      <c r="I22" s="23" t="s">
        <v>61</v>
      </c>
      <c r="J22" s="23" t="s">
        <v>59</v>
      </c>
      <c r="K22" s="23" t="s">
        <v>61</v>
      </c>
      <c r="M22" s="24" t="n">
        <f aca="false">IF(G22="","",F22*(2-IF(G22="Yes",2,IF(G22="Partly",1,0))))</f>
        <v>0</v>
      </c>
      <c r="N22" s="25" t="n">
        <f aca="false">IF(M22="",-1,M22+(29+1-ROW())/1000)</f>
        <v>0.008</v>
      </c>
      <c r="O22" s="24" t="n">
        <f aca="false">COUNTIF(I22:K22,"Yes")</f>
        <v>2</v>
      </c>
    </row>
    <row r="23" customFormat="false" ht="43.5" hidden="false" customHeight="true" outlineLevel="0" collapsed="false">
      <c r="B23" s="20" t="n">
        <v>15</v>
      </c>
      <c r="C23" s="10" t="s">
        <v>100</v>
      </c>
      <c r="D23" s="21" t="s">
        <v>103</v>
      </c>
      <c r="E23" s="18" t="s">
        <v>104</v>
      </c>
      <c r="F23" s="22" t="n">
        <v>2</v>
      </c>
      <c r="G23" s="23" t="s">
        <v>62</v>
      </c>
      <c r="H23" s="19" t="s">
        <v>105</v>
      </c>
      <c r="I23" s="23" t="s">
        <v>61</v>
      </c>
      <c r="J23" s="23" t="s">
        <v>59</v>
      </c>
      <c r="K23" s="23" t="s">
        <v>59</v>
      </c>
      <c r="M23" s="24" t="n">
        <f aca="false">IF(G23="","",F23*(2-IF(G23="Yes",2,IF(G23="Partly",1,0))))</f>
        <v>4</v>
      </c>
      <c r="N23" s="25" t="n">
        <f aca="false">IF(M23="",-1,M23+(29+1-ROW())/1000)</f>
        <v>4.007</v>
      </c>
      <c r="O23" s="24" t="n">
        <f aca="false">COUNTIF(I23:K23,"Yes")</f>
        <v>1</v>
      </c>
    </row>
    <row r="24" customFormat="false" ht="43.5" hidden="false" customHeight="true" outlineLevel="0" collapsed="false">
      <c r="B24" s="20" t="n">
        <v>16</v>
      </c>
      <c r="C24" s="10" t="s">
        <v>100</v>
      </c>
      <c r="D24" s="21" t="s">
        <v>106</v>
      </c>
      <c r="E24" s="18" t="s">
        <v>107</v>
      </c>
      <c r="F24" s="22" t="n">
        <v>1</v>
      </c>
      <c r="G24" s="23" t="s">
        <v>59</v>
      </c>
      <c r="H24" s="19" t="s">
        <v>108</v>
      </c>
      <c r="I24" s="23" t="s">
        <v>61</v>
      </c>
      <c r="J24" s="23" t="s">
        <v>62</v>
      </c>
      <c r="K24" s="23" t="s">
        <v>61</v>
      </c>
      <c r="M24" s="24" t="n">
        <f aca="false">IF(G24="","",F24*(2-IF(G24="Yes",2,IF(G24="Partly",1,0))))</f>
        <v>1</v>
      </c>
      <c r="N24" s="25" t="n">
        <f aca="false">IF(M24="",-1,M24+(29+1-ROW())/1000)</f>
        <v>1.006</v>
      </c>
      <c r="O24" s="24" t="n">
        <f aca="false">COUNTIF(I24:K24,"Yes")</f>
        <v>2</v>
      </c>
    </row>
    <row r="25" customFormat="false" ht="43.5" hidden="false" customHeight="true" outlineLevel="0" collapsed="false">
      <c r="B25" s="20" t="n">
        <v>17</v>
      </c>
      <c r="C25" s="10" t="s">
        <v>100</v>
      </c>
      <c r="D25" s="21" t="s">
        <v>109</v>
      </c>
      <c r="E25" s="18" t="s">
        <v>110</v>
      </c>
      <c r="F25" s="22" t="n">
        <v>3</v>
      </c>
      <c r="G25" s="23" t="s">
        <v>61</v>
      </c>
      <c r="H25" s="19" t="s">
        <v>111</v>
      </c>
      <c r="I25" s="23" t="s">
        <v>61</v>
      </c>
      <c r="J25" s="23" t="s">
        <v>94</v>
      </c>
      <c r="K25" s="23" t="s">
        <v>61</v>
      </c>
      <c r="M25" s="24" t="n">
        <f aca="false">IF(G25="","",F25*(2-IF(G25="Yes",2,IF(G25="Partly",1,0))))</f>
        <v>0</v>
      </c>
      <c r="N25" s="25" t="n">
        <f aca="false">IF(M25="",-1,M25+(29+1-ROW())/1000)</f>
        <v>0.005</v>
      </c>
      <c r="O25" s="24" t="n">
        <f aca="false">COUNTIF(I25:K25,"Yes")</f>
        <v>2</v>
      </c>
    </row>
    <row r="26" customFormat="false" ht="43.5" hidden="false" customHeight="true" outlineLevel="0" collapsed="false">
      <c r="B26" s="20" t="n">
        <v>18</v>
      </c>
      <c r="C26" s="10" t="s">
        <v>112</v>
      </c>
      <c r="D26" s="21" t="s">
        <v>113</v>
      </c>
      <c r="E26" s="18" t="s">
        <v>114</v>
      </c>
      <c r="F26" s="22" t="n">
        <v>3</v>
      </c>
      <c r="G26" s="23" t="s">
        <v>59</v>
      </c>
      <c r="H26" s="19" t="s">
        <v>115</v>
      </c>
      <c r="I26" s="23" t="s">
        <v>61</v>
      </c>
      <c r="J26" s="23" t="s">
        <v>59</v>
      </c>
      <c r="K26" s="23" t="s">
        <v>94</v>
      </c>
      <c r="M26" s="24" t="n">
        <f aca="false">IF(G26="","",F26*(2-IF(G26="Yes",2,IF(G26="Partly",1,0))))</f>
        <v>3</v>
      </c>
      <c r="N26" s="25" t="n">
        <f aca="false">IF(M26="",-1,M26+(29+1-ROW())/1000)</f>
        <v>3.004</v>
      </c>
      <c r="O26" s="24" t="n">
        <f aca="false">COUNTIF(I26:K26,"Yes")</f>
        <v>1</v>
      </c>
    </row>
    <row r="27" customFormat="false" ht="43.5" hidden="false" customHeight="true" outlineLevel="0" collapsed="false">
      <c r="B27" s="20" t="n">
        <v>19</v>
      </c>
      <c r="C27" s="10" t="s">
        <v>112</v>
      </c>
      <c r="D27" s="21" t="s">
        <v>116</v>
      </c>
      <c r="E27" s="18" t="s">
        <v>117</v>
      </c>
      <c r="F27" s="22" t="n">
        <v>3</v>
      </c>
      <c r="G27" s="23" t="s">
        <v>61</v>
      </c>
      <c r="H27" s="19" t="s">
        <v>118</v>
      </c>
      <c r="I27" s="23" t="s">
        <v>59</v>
      </c>
      <c r="J27" s="23" t="s">
        <v>62</v>
      </c>
      <c r="K27" s="23" t="s">
        <v>61</v>
      </c>
      <c r="M27" s="24" t="n">
        <f aca="false">IF(G27="","",F27*(2-IF(G27="Yes",2,IF(G27="Partly",1,0))))</f>
        <v>0</v>
      </c>
      <c r="N27" s="25" t="n">
        <f aca="false">IF(M27="",-1,M27+(29+1-ROW())/1000)</f>
        <v>0.003</v>
      </c>
      <c r="O27" s="24" t="n">
        <f aca="false">COUNTIF(I27:K27,"Yes")</f>
        <v>1</v>
      </c>
    </row>
    <row r="28" customFormat="false" ht="43.5" hidden="false" customHeight="true" outlineLevel="0" collapsed="false">
      <c r="B28" s="20" t="n">
        <v>20</v>
      </c>
      <c r="C28" s="10" t="s">
        <v>112</v>
      </c>
      <c r="D28" s="21" t="s">
        <v>119</v>
      </c>
      <c r="E28" s="18" t="s">
        <v>120</v>
      </c>
      <c r="F28" s="22" t="n">
        <v>2</v>
      </c>
      <c r="G28" s="23" t="s">
        <v>61</v>
      </c>
      <c r="H28" s="19" t="s">
        <v>121</v>
      </c>
      <c r="I28" s="23" t="s">
        <v>61</v>
      </c>
      <c r="J28" s="23" t="s">
        <v>62</v>
      </c>
      <c r="K28" s="23" t="s">
        <v>61</v>
      </c>
      <c r="M28" s="24" t="n">
        <f aca="false">IF(G28="","",F28*(2-IF(G28="Yes",2,IF(G28="Partly",1,0))))</f>
        <v>0</v>
      </c>
      <c r="N28" s="25" t="n">
        <f aca="false">IF(M28="",-1,M28+(29+1-ROW())/1000)</f>
        <v>0.002</v>
      </c>
      <c r="O28" s="24" t="n">
        <f aca="false">COUNTIF(I28:K28,"Yes")</f>
        <v>2</v>
      </c>
    </row>
    <row r="29" customFormat="false" ht="43.5" hidden="false" customHeight="true" outlineLevel="0" collapsed="false">
      <c r="B29" s="20" t="n">
        <v>21</v>
      </c>
      <c r="C29" s="10" t="s">
        <v>112</v>
      </c>
      <c r="D29" s="21" t="s">
        <v>122</v>
      </c>
      <c r="E29" s="18" t="s">
        <v>123</v>
      </c>
      <c r="F29" s="22" t="n">
        <v>2</v>
      </c>
      <c r="G29" s="23" t="s">
        <v>59</v>
      </c>
      <c r="H29" s="19" t="s">
        <v>124</v>
      </c>
      <c r="I29" s="23" t="s">
        <v>61</v>
      </c>
      <c r="J29" s="23" t="s">
        <v>59</v>
      </c>
      <c r="K29" s="23" t="s">
        <v>61</v>
      </c>
      <c r="M29" s="24" t="n">
        <f aca="false">IF(G29="","",F29*(2-IF(G29="Yes",2,IF(G29="Partly",1,0))))</f>
        <v>2</v>
      </c>
      <c r="N29" s="25" t="n">
        <f aca="false">IF(M29="",-1,M29+(29+1-ROW())/1000)</f>
        <v>2.001</v>
      </c>
      <c r="O29" s="24" t="n">
        <f aca="false">COUNTIF(I29:K29,"Yes")</f>
        <v>2</v>
      </c>
    </row>
    <row r="31" customFormat="false" ht="15" hidden="false" customHeight="false" outlineLevel="0" collapsed="false">
      <c r="B31" s="26" t="s">
        <v>125</v>
      </c>
      <c r="C31" s="2"/>
      <c r="D31" s="2"/>
      <c r="E31" s="2"/>
      <c r="F31" s="2"/>
      <c r="G31" s="2"/>
      <c r="H31" s="2"/>
      <c r="I31" s="2"/>
      <c r="J31" s="2"/>
      <c r="K31" s="2"/>
    </row>
    <row r="32" customFormat="false" ht="15" hidden="false" customHeight="false" outlineLevel="0" collapsed="false">
      <c r="C32" s="9" t="s">
        <v>39</v>
      </c>
      <c r="D32" s="9"/>
      <c r="G32" s="9" t="str">
        <f aca="false">G8</f>
        <v>Fieldnote</v>
      </c>
      <c r="I32" s="9" t="str">
        <f aca="false">I8</f>
        <v>Competitor A</v>
      </c>
      <c r="J32" s="9" t="str">
        <f aca="false">J8</f>
        <v>Competitor B</v>
      </c>
      <c r="K32" s="9" t="str">
        <f aca="false">K8</f>
        <v>Competitor C</v>
      </c>
    </row>
    <row r="33" customFormat="false" ht="15" hidden="false" customHeight="false" outlineLevel="0" collapsed="false">
      <c r="C33" s="11" t="s">
        <v>56</v>
      </c>
      <c r="G33" s="27" t="n">
        <f aca="false">IF(2*SUMPRODUCT($F$9:$F$29*($C$9:$C$29="Clarity")*(G9:G29&lt;&gt;""))=0,"",SUMPRODUCT($F$9:$F$29*($C$9:$C$29="Clarity")*((G9:G29="Yes")*2+(G9:G29="Partly")*1))/(2*SUMPRODUCT($F$9:$F$29*($C$9:$C$29="Clarity")*(G9:G29&lt;&gt;""))))</f>
        <v>0.461538461538462</v>
      </c>
      <c r="I33" s="27" t="n">
        <f aca="false">IF(2*SUMPRODUCT($F$9:$F$29*($C$9:$C$29="Clarity")*(I9:I29&lt;&gt;""))=0,"",SUMPRODUCT($F$9:$F$29*($C$9:$C$29="Clarity")*((I9:I29="Yes")*2+(I9:I29="Partly")*1))/(2*SUMPRODUCT($F$9:$F$29*($C$9:$C$29="Clarity")*(I9:I29&lt;&gt;""))))</f>
        <v>0.923076923076923</v>
      </c>
      <c r="J33" s="27" t="n">
        <f aca="false">IF(2*SUMPRODUCT($F$9:$F$29*($C$9:$C$29="Clarity")*(J9:J29&lt;&gt;""))=0,"",SUMPRODUCT($F$9:$F$29*($C$9:$C$29="Clarity")*((J9:J29="Yes")*2+(J9:J29="Partly")*1))/(2*SUMPRODUCT($F$9:$F$29*($C$9:$C$29="Clarity")*(J9:J29&lt;&gt;""))))</f>
        <v>0.423076923076923</v>
      </c>
      <c r="K33" s="27" t="n">
        <f aca="false">IF(2*SUMPRODUCT($F$9:$F$29*($C$9:$C$29="Clarity")*(K9:K29&lt;&gt;""))=0,"",SUMPRODUCT($F$9:$F$29*($C$9:$C$29="Clarity")*((K9:K29="Yes")*2+(K9:K29="Partly")*1))/(2*SUMPRODUCT($F$9:$F$29*($C$9:$C$29="Clarity")*(K9:K29&lt;&gt;""))))</f>
        <v>0.461538461538462</v>
      </c>
    </row>
    <row r="34" customFormat="false" ht="15" hidden="false" customHeight="false" outlineLevel="0" collapsed="false">
      <c r="C34" s="11" t="s">
        <v>75</v>
      </c>
      <c r="G34" s="27" t="n">
        <f aca="false">IF(2*SUMPRODUCT($F$9:$F$29*($C$9:$C$29="Choice")*(G9:G29&lt;&gt;""))=0,"",SUMPRODUCT($F$9:$F$29*($C$9:$C$29="Choice")*((G9:G29="Yes")*2+(G9:G29="Partly")*1))/(2*SUMPRODUCT($F$9:$F$29*($C$9:$C$29="Choice")*(G9:G29&lt;&gt;""))))</f>
        <v>0.642857142857143</v>
      </c>
      <c r="I34" s="27" t="n">
        <f aca="false">IF(2*SUMPRODUCT($F$9:$F$29*($C$9:$C$29="Choice")*(I9:I29&lt;&gt;""))=0,"",SUMPRODUCT($F$9:$F$29*($C$9:$C$29="Choice")*((I9:I29="Yes")*2+(I9:I29="Partly")*1))/(2*SUMPRODUCT($F$9:$F$29*($C$9:$C$29="Choice")*(I9:I29&lt;&gt;""))))</f>
        <v>0.857142857142857</v>
      </c>
      <c r="J34" s="27" t="n">
        <f aca="false">IF(2*SUMPRODUCT($F$9:$F$29*($C$9:$C$29="Choice")*(J9:J29&lt;&gt;""))=0,"",SUMPRODUCT($F$9:$F$29*($C$9:$C$29="Choice")*((J9:J29="Yes")*2+(J9:J29="Partly")*1))/(2*SUMPRODUCT($F$9:$F$29*($C$9:$C$29="Choice")*(J9:J29&lt;&gt;""))))</f>
        <v>0.571428571428571</v>
      </c>
      <c r="K34" s="27" t="n">
        <f aca="false">IF(2*SUMPRODUCT($F$9:$F$29*($C$9:$C$29="Choice")*(K9:K29&lt;&gt;""))=0,"",SUMPRODUCT($F$9:$F$29*($C$9:$C$29="Choice")*((K9:K29="Yes")*2+(K9:K29="Partly")*1))/(2*SUMPRODUCT($F$9:$F$29*($C$9:$C$29="Choice")*(K9:K29&lt;&gt;""))))</f>
        <v>0.714285714285714</v>
      </c>
    </row>
    <row r="35" customFormat="false" ht="15" hidden="false" customHeight="false" outlineLevel="0" collapsed="false">
      <c r="C35" s="11" t="s">
        <v>87</v>
      </c>
      <c r="G35" s="27" t="n">
        <f aca="false">IF(2*SUMPRODUCT($F$9:$F$29*($C$9:$C$29="Proof &amp; risk")*(G9:G29&lt;&gt;""))=0,"",SUMPRODUCT($F$9:$F$29*($C$9:$C$29="Proof &amp; risk")*((G9:G29="Yes")*2+(G9:G29="Partly")*1))/(2*SUMPRODUCT($F$9:$F$29*($C$9:$C$29="Proof &amp; risk")*(G9:G29&lt;&gt;""))))</f>
        <v>0.285714285714286</v>
      </c>
      <c r="I35" s="27" t="n">
        <f aca="false">IF(2*SUMPRODUCT($F$9:$F$29*($C$9:$C$29="Proof &amp; risk")*(I9:I29&lt;&gt;""))=0,"",SUMPRODUCT($F$9:$F$29*($C$9:$C$29="Proof &amp; risk")*((I9:I29="Yes")*2+(I9:I29="Partly")*1))/(2*SUMPRODUCT($F$9:$F$29*($C$9:$C$29="Proof &amp; risk")*(I9:I29&lt;&gt;""))))</f>
        <v>0.857142857142857</v>
      </c>
      <c r="J35" s="27" t="n">
        <f aca="false">IF(2*SUMPRODUCT($F$9:$F$29*($C$9:$C$29="Proof &amp; risk")*(J9:J29&lt;&gt;""))=0,"",SUMPRODUCT($F$9:$F$29*($C$9:$C$29="Proof &amp; risk")*((J9:J29="Yes")*2+(J9:J29="Partly")*1))/(2*SUMPRODUCT($F$9:$F$29*($C$9:$C$29="Proof &amp; risk")*(J9:J29&lt;&gt;""))))</f>
        <v>0.357142857142857</v>
      </c>
      <c r="K35" s="27" t="n">
        <f aca="false">IF(2*SUMPRODUCT($F$9:$F$29*($C$9:$C$29="Proof &amp; risk")*(K9:K29&lt;&gt;""))=0,"",SUMPRODUCT($F$9:$F$29*($C$9:$C$29="Proof &amp; risk")*((K9:K29="Yes")*2+(K9:K29="Partly")*1))/(2*SUMPRODUCT($F$9:$F$29*($C$9:$C$29="Proof &amp; risk")*(K9:K29&lt;&gt;""))))</f>
        <v>0.285714285714286</v>
      </c>
    </row>
    <row r="36" customFormat="false" ht="15" hidden="false" customHeight="false" outlineLevel="0" collapsed="false">
      <c r="C36" s="11" t="s">
        <v>100</v>
      </c>
      <c r="G36" s="27" t="n">
        <f aca="false">IF(2*SUMPRODUCT($F$9:$F$29*($C$9:$C$29="Friction")*(G9:G29&lt;&gt;""))=0,"",SUMPRODUCT($F$9:$F$29*($C$9:$C$29="Friction")*((G9:G29="Yes")*2+(G9:G29="Partly")*1))/(2*SUMPRODUCT($F$9:$F$29*($C$9:$C$29="Friction")*(G9:G29&lt;&gt;""))))</f>
        <v>0.6875</v>
      </c>
      <c r="I36" s="27" t="n">
        <f aca="false">IF(2*SUMPRODUCT($F$9:$F$29*($C$9:$C$29="Friction")*(I9:I29&lt;&gt;""))=0,"",SUMPRODUCT($F$9:$F$29*($C$9:$C$29="Friction")*((I9:I29="Yes")*2+(I9:I29="Partly")*1))/(2*SUMPRODUCT($F$9:$F$29*($C$9:$C$29="Friction")*(I9:I29&lt;&gt;""))))</f>
        <v>1</v>
      </c>
      <c r="J36" s="27" t="n">
        <f aca="false">IF(2*SUMPRODUCT($F$9:$F$29*($C$9:$C$29="Friction")*(J9:J29&lt;&gt;""))=0,"",SUMPRODUCT($F$9:$F$29*($C$9:$C$29="Friction")*((J9:J29="Yes")*2+(J9:J29="Partly")*1))/(2*SUMPRODUCT($F$9:$F$29*($C$9:$C$29="Friction")*(J9:J29&lt;&gt;""))))</f>
        <v>0.25</v>
      </c>
      <c r="K36" s="27" t="n">
        <f aca="false">IF(2*SUMPRODUCT($F$9:$F$29*($C$9:$C$29="Friction")*(K9:K29&lt;&gt;""))=0,"",SUMPRODUCT($F$9:$F$29*($C$9:$C$29="Friction")*((K9:K29="Yes")*2+(K9:K29="Partly")*1))/(2*SUMPRODUCT($F$9:$F$29*($C$9:$C$29="Friction")*(K9:K29&lt;&gt;""))))</f>
        <v>0.875</v>
      </c>
    </row>
    <row r="37" customFormat="false" ht="23.85" hidden="false" customHeight="false" outlineLevel="0" collapsed="false">
      <c r="C37" s="11" t="s">
        <v>112</v>
      </c>
      <c r="G37" s="27" t="n">
        <f aca="false">IF(2*SUMPRODUCT($F$9:$F$29*($C$9:$C$29="Honesty &amp; terms")*(G9:G29&lt;&gt;""))=0,"",SUMPRODUCT($F$9:$F$29*($C$9:$C$29="Honesty &amp; terms")*((G9:G29="Yes")*2+(G9:G29="Partly")*1))/(2*SUMPRODUCT($F$9:$F$29*($C$9:$C$29="Honesty &amp; terms")*(G9:G29&lt;&gt;""))))</f>
        <v>0.75</v>
      </c>
      <c r="I37" s="27" t="n">
        <f aca="false">IF(2*SUMPRODUCT($F$9:$F$29*($C$9:$C$29="Honesty &amp; terms")*(I9:I29&lt;&gt;""))=0,"",SUMPRODUCT($F$9:$F$29*($C$9:$C$29="Honesty &amp; terms")*((I9:I29="Yes")*2+(I9:I29="Partly")*1))/(2*SUMPRODUCT($F$9:$F$29*($C$9:$C$29="Honesty &amp; terms")*(I9:I29&lt;&gt;""))))</f>
        <v>0.85</v>
      </c>
      <c r="J37" s="27" t="n">
        <f aca="false">IF(2*SUMPRODUCT($F$9:$F$29*($C$9:$C$29="Honesty &amp; terms")*(J9:J29&lt;&gt;""))=0,"",SUMPRODUCT($F$9:$F$29*($C$9:$C$29="Honesty &amp; terms")*((J9:J29="Yes")*2+(J9:J29="Partly")*1))/(2*SUMPRODUCT($F$9:$F$29*($C$9:$C$29="Honesty &amp; terms")*(J9:J29&lt;&gt;""))))</f>
        <v>0.25</v>
      </c>
      <c r="K37" s="27" t="n">
        <f aca="false">IF(2*SUMPRODUCT($F$9:$F$29*($C$9:$C$29="Honesty &amp; terms")*(K9:K29&lt;&gt;""))=0,"",SUMPRODUCT($F$9:$F$29*($C$9:$C$29="Honesty &amp; terms")*((K9:K29="Yes")*2+(K9:K29="Partly")*1))/(2*SUMPRODUCT($F$9:$F$29*($C$9:$C$29="Honesty &amp; terms")*(K9:K29&lt;&gt;""))))</f>
        <v>0.7</v>
      </c>
    </row>
    <row r="38" customFormat="false" ht="15" hidden="false" customHeight="false" outlineLevel="0" collapsed="false">
      <c r="C38" s="10" t="s">
        <v>126</v>
      </c>
      <c r="G38" s="27" t="n">
        <f aca="false">IF(2*SUMPRODUCT($F$9:$F$29*(G9:G29&lt;&gt;""))=0,"",SUMPRODUCT($F$9:$F$29*((G9:G29="Yes")*2+(G9:G29="Partly")*1))/(2*SUMPRODUCT($F$9:$F$29*(G9:G29&lt;&gt;""))))</f>
        <v>0.566666666666667</v>
      </c>
      <c r="I38" s="27" t="n">
        <f aca="false">IF(2*SUMPRODUCT($F$9:$F$29*(I9:I29&lt;&gt;""))=0,"",SUMPRODUCT($F$9:$F$29*((I9:I29="Yes")*2+(I9:I29="Partly")*1))/(2*SUMPRODUCT($F$9:$F$29*(I9:I29&lt;&gt;""))))</f>
        <v>0.9</v>
      </c>
      <c r="J38" s="27" t="n">
        <f aca="false">IF(2*SUMPRODUCT($F$9:$F$29*(J9:J29&lt;&gt;""))=0,"",SUMPRODUCT($F$9:$F$29*((J9:J29="Yes")*2+(J9:J29="Partly")*1))/(2*SUMPRODUCT($F$9:$F$29*(J9:J29&lt;&gt;""))))</f>
        <v>0.366666666666667</v>
      </c>
      <c r="K38" s="27" t="n">
        <f aca="false">IF(2*SUMPRODUCT($F$9:$F$29*(K9:K29&lt;&gt;""))=0,"",SUMPRODUCT($F$9:$F$29*((K9:K29="Yes")*2+(K9:K29="Partly")*1))/(2*SUMPRODUCT($F$9:$F$29*(K9:K29&lt;&gt;""))))</f>
        <v>0.6</v>
      </c>
    </row>
    <row r="39" customFormat="false" ht="15" hidden="false" customHeight="false" outlineLevel="0" collapsed="false">
      <c r="C39" s="11" t="s">
        <v>127</v>
      </c>
      <c r="G39" s="24" t="str">
        <f aca="false">COUNTA(G9:G29)&amp;" of 21"</f>
        <v>21 of 21</v>
      </c>
      <c r="I39" s="24" t="str">
        <f aca="false">COUNTA(I9:I29)&amp;" of 21"</f>
        <v>21 of 21</v>
      </c>
      <c r="J39" s="24" t="str">
        <f aca="false">COUNTA(J9:J29)&amp;" of 21"</f>
        <v>21 of 21</v>
      </c>
      <c r="K39" s="24" t="str">
        <f aca="false">COUNTA(K9:K29)&amp;" of 21"</f>
        <v>21 of 21</v>
      </c>
    </row>
    <row r="40" customFormat="false" ht="15" hidden="false" customHeight="false" outlineLevel="0" collapsed="false">
      <c r="C40" s="11" t="s">
        <v>128</v>
      </c>
      <c r="G40" s="24" t="n">
        <f aca="false">COUNTIF(G9:G29,"Not sure")</f>
        <v>1</v>
      </c>
      <c r="I40" s="24" t="n">
        <f aca="false">COUNTIF(I9:I29,"Not sure")</f>
        <v>0</v>
      </c>
      <c r="J40" s="24" t="n">
        <f aca="false">COUNTIF(J9:J29,"Not sure")</f>
        <v>1</v>
      </c>
      <c r="K40" s="24" t="n">
        <f aca="false">COUNTIF(K9:K29,"Not sure")</f>
        <v>2</v>
      </c>
    </row>
    <row r="41" customFormat="false" ht="15" hidden="false" customHeight="true" outlineLevel="0" collapsed="false">
      <c r="C41" s="17" t="s">
        <v>129</v>
      </c>
      <c r="D41" s="17"/>
      <c r="E41" s="17"/>
      <c r="F41" s="17"/>
      <c r="G41" s="17"/>
      <c r="H41" s="17"/>
      <c r="I41" s="17"/>
      <c r="J41" s="17"/>
      <c r="K41" s="17"/>
    </row>
    <row r="43" customFormat="false" ht="15" hidden="false" customHeight="false" outlineLevel="0" collapsed="false">
      <c r="B43" s="26" t="s">
        <v>130</v>
      </c>
      <c r="C43" s="2"/>
      <c r="D43" s="2"/>
      <c r="E43" s="2"/>
      <c r="F43" s="2"/>
      <c r="G43" s="2"/>
      <c r="H43" s="2"/>
      <c r="I43" s="2"/>
      <c r="J43" s="2"/>
      <c r="K43" s="2"/>
    </row>
    <row r="44" customFormat="false" ht="23.85" hidden="false" customHeight="false" outlineLevel="0" collapsed="false">
      <c r="B44" s="9" t="s">
        <v>38</v>
      </c>
      <c r="C44" s="9" t="s">
        <v>39</v>
      </c>
      <c r="D44" s="9" t="s">
        <v>40</v>
      </c>
      <c r="E44" s="9" t="s">
        <v>131</v>
      </c>
      <c r="F44" s="9" t="s">
        <v>132</v>
      </c>
      <c r="G44" s="9" t="s">
        <v>133</v>
      </c>
      <c r="H44" s="9" t="s">
        <v>134</v>
      </c>
    </row>
    <row r="45" customFormat="false" ht="39.75" hidden="false" customHeight="true" outlineLevel="0" collapsed="false">
      <c r="B45" s="20" t="n">
        <v>1</v>
      </c>
      <c r="C45" s="24" t="str">
        <f aca="false">IFERROR(IF(LARGE($N$9:$N$29,1)&gt;0.5,INDEX($C$9:$C$29,MATCH(LARGE($N$9:$N$29,1),$N$9:$N$29,0))&amp;"",""),"")</f>
        <v>Clarity</v>
      </c>
      <c r="D45" s="24" t="str">
        <f aca="false">IFERROR(IF(LARGE($N$9:$N$29,1)&gt;0.5,INDEX($D$9:$D$29,MATCH(LARGE($N$9:$N$29,1),$N$9:$N$29,0))&amp;"",""),"")</f>
        <v>Billing is plain: monthly or annual, what is charged today, the currency, and whether tax is extra.</v>
      </c>
      <c r="E45" s="20" t="str">
        <f aca="false">IFERROR(IF(LARGE($N$9:$N$29,1)&gt;0.5,INDEX($H$9:$H$29,MATCH(LARGE($N$9:$N$29,1),$N$9:$N$29,0))&amp;"",""),"")</f>
        <v>Tax not mentioned; annual toggle shows per-month price with no “billed annually”.</v>
      </c>
      <c r="F45" s="28" t="n">
        <f aca="false">IFERROR(IF(LARGE($N$9:$N$29,1)&gt;0.5,INDEX($M$9:$M$29,MATCH(LARGE($N$9:$N$29,1),$N$9:$N$29,0)),""),"")</f>
        <v>4</v>
      </c>
      <c r="G45" s="28" t="str">
        <f aca="false">IFERROR(IF(LARGE($N$9:$N$29,1)&gt;0.5,INDEX($G$9:$G$29,MATCH(LARGE($N$9:$N$29,1),$N$9:$N$29,0))&amp;"",""),"")</f>
        <v>No</v>
      </c>
      <c r="H45" s="28" t="n">
        <f aca="false">IFERROR(IF(LARGE($N$9:$N$29,1)&gt;0.5,INDEX($O$9:$O$29,MATCH(LARGE($N$9:$N$29,1),$N$9:$N$29,0)),""),"")</f>
        <v>2</v>
      </c>
    </row>
    <row r="46" customFormat="false" ht="39.75" hidden="false" customHeight="true" outlineLevel="0" collapsed="false">
      <c r="B46" s="20" t="n">
        <v>2</v>
      </c>
      <c r="C46" s="24" t="str">
        <f aca="false">IFERROR(IF(LARGE($N$9:$N$29,2)&gt;0.5,INDEX($C$9:$C$29,MATCH(LARGE($N$9:$N$29,2),$N$9:$N$29,0))&amp;"",""),"")</f>
        <v>Clarity</v>
      </c>
      <c r="D46" s="24" t="str">
        <f aca="false">IFERROR(IF(LARGE($N$9:$N$29,2)&gt;0.5,INDEX($D$9:$D$29,MATCH(LARGE($N$9:$N$29,2),$N$9:$N$29,0))&amp;"",""),"")</f>
        <v>Plan differences are shown as limits and outcomes a buyer cares about, not a wall of ticks.</v>
      </c>
      <c r="E46" s="20" t="str">
        <f aca="false">IFERROR(IF(LARGE($N$9:$N$29,2)&gt;0.5,INDEX($H$9:$H$29,MATCH(LARGE($N$9:$N$29,2),$N$9:$N$29,0))&amp;"",""),"")</f>
        <v>42-row tick table; the three real differences are rows 3, 17 and 30.</v>
      </c>
      <c r="F46" s="28" t="n">
        <f aca="false">IFERROR(IF(LARGE($N$9:$N$29,2)&gt;0.5,INDEX($M$9:$M$29,MATCH(LARGE($N$9:$N$29,2),$N$9:$N$29,0)),""),"")</f>
        <v>4</v>
      </c>
      <c r="G46" s="28" t="str">
        <f aca="false">IFERROR(IF(LARGE($N$9:$N$29,2)&gt;0.5,INDEX($G$9:$G$29,MATCH(LARGE($N$9:$N$29,2),$N$9:$N$29,0))&amp;"",""),"")</f>
        <v>No</v>
      </c>
      <c r="H46" s="28" t="n">
        <f aca="false">IFERROR(IF(LARGE($N$9:$N$29,2)&gt;0.5,INDEX($O$9:$O$29,MATCH(LARGE($N$9:$N$29,2),$N$9:$N$29,0)),""),"")</f>
        <v>0</v>
      </c>
    </row>
    <row r="47" customFormat="false" ht="39.75" hidden="false" customHeight="true" outlineLevel="0" collapsed="false">
      <c r="B47" s="20" t="n">
        <v>3</v>
      </c>
      <c r="C47" s="24" t="str">
        <f aca="false">IFERROR(IF(LARGE($N$9:$N$29,3)&gt;0.5,INDEX($C$9:$C$29,MATCH(LARGE($N$9:$N$29,3),$N$9:$N$29,0))&amp;"",""),"")</f>
        <v>Choice</v>
      </c>
      <c r="D47" s="24" t="str">
        <f aca="false">IFERROR(IF(LARGE($N$9:$N$29,3)&gt;0.5,INDEX($D$9:$D$29,MATCH(LARGE($N$9:$N$29,3),$N$9:$N$29,0))&amp;"",""),"")</f>
        <v>It is clear what happens at each limit: an overage charge, an upgrade, or a hard stop.</v>
      </c>
      <c r="E47" s="20" t="str">
        <f aca="false">IFERROR(IF(LARGE($N$9:$N$29,3)&gt;0.5,INDEX($H$9:$H$29,MATCH(LARGE($N$9:$N$29,3),$N$9:$N$29,0))&amp;"",""),"")</f>
        <v>Job limit on Starter is not stated anywhere on the page.</v>
      </c>
      <c r="F47" s="28" t="n">
        <f aca="false">IFERROR(IF(LARGE($N$9:$N$29,3)&gt;0.5,INDEX($M$9:$M$29,MATCH(LARGE($N$9:$N$29,3),$N$9:$N$29,0)),""),"")</f>
        <v>4</v>
      </c>
      <c r="G47" s="28" t="str">
        <f aca="false">IFERROR(IF(LARGE($N$9:$N$29,3)&gt;0.5,INDEX($G$9:$G$29,MATCH(LARGE($N$9:$N$29,3),$N$9:$N$29,0))&amp;"",""),"")</f>
        <v>No</v>
      </c>
      <c r="H47" s="28" t="n">
        <f aca="false">IFERROR(IF(LARGE($N$9:$N$29,3)&gt;0.5,INDEX($O$9:$O$29,MATCH(LARGE($N$9:$N$29,3),$N$9:$N$29,0)),""),"")</f>
        <v>1</v>
      </c>
    </row>
    <row r="48" customFormat="false" ht="39.75" hidden="false" customHeight="true" outlineLevel="0" collapsed="false">
      <c r="B48" s="20" t="n">
        <v>4</v>
      </c>
      <c r="C48" s="24" t="str">
        <f aca="false">IFERROR(IF(LARGE($N$9:$N$29,4)&gt;0.5,INDEX($C$9:$C$29,MATCH(LARGE($N$9:$N$29,4),$N$9:$N$29,0))&amp;"",""),"")</f>
        <v>Proof &amp; risk</v>
      </c>
      <c r="D48" s="24" t="str">
        <f aca="false">IFERROR(IF(LARGE($N$9:$N$29,4)&gt;0.5,INDEX($D$9:$D$29,MATCH(LARGE($N$9:$N$29,4),$N$9:$N$29,0))&amp;"",""),"")</f>
        <v>Proof sits near the price and speaks to that plan’s buyer: a result or quote used with written permission.</v>
      </c>
      <c r="E48" s="20" t="str">
        <f aca="false">IFERROR(IF(LARGE($N$9:$N$29,4)&gt;0.5,INDEX($H$9:$H$29,MATCH(LARGE($N$9:$N$29,4),$N$9:$N$29,0))&amp;"",""),"")</f>
        <v>Quotes are on the homepage only.</v>
      </c>
      <c r="F48" s="28" t="n">
        <f aca="false">IFERROR(IF(LARGE($N$9:$N$29,4)&gt;0.5,INDEX($M$9:$M$29,MATCH(LARGE($N$9:$N$29,4),$N$9:$N$29,0)),""),"")</f>
        <v>4</v>
      </c>
      <c r="G48" s="28" t="str">
        <f aca="false">IFERROR(IF(LARGE($N$9:$N$29,4)&gt;0.5,INDEX($G$9:$G$29,MATCH(LARGE($N$9:$N$29,4),$N$9:$N$29,0))&amp;"",""),"")</f>
        <v>No</v>
      </c>
      <c r="H48" s="28" t="n">
        <f aca="false">IFERROR(IF(LARGE($N$9:$N$29,4)&gt;0.5,INDEX($O$9:$O$29,MATCH(LARGE($N$9:$N$29,4),$N$9:$N$29,0)),""),"")</f>
        <v>1</v>
      </c>
    </row>
    <row r="49" customFormat="false" ht="39.75" hidden="false" customHeight="true" outlineLevel="0" collapsed="false">
      <c r="B49" s="20" t="n">
        <v>5</v>
      </c>
      <c r="C49" s="24" t="str">
        <f aca="false">IFERROR(IF(LARGE($N$9:$N$29,5)&gt;0.5,INDEX($C$9:$C$29,MATCH(LARGE($N$9:$N$29,5),$N$9:$N$29,0))&amp;"",""),"")</f>
        <v>Friction</v>
      </c>
      <c r="D49" s="24" t="str">
        <f aca="false">IFERROR(IF(LARGE($N$9:$N$29,5)&gt;0.5,INDEX($D$9:$D$29,MATCH(LARGE($N$9:$N$29,5),$N$9:$N$29,0))&amp;"",""),"")</f>
        <v>The monthly/annual switch compares like with like and shows the saving honestly.</v>
      </c>
      <c r="E49" s="20" t="str">
        <f aca="false">IFERROR(IF(LARGE($N$9:$N$29,5)&gt;0.5,INDEX($H$9:$H$29,MATCH(LARGE($N$9:$N$29,5),$N$9:$N$29,0))&amp;"",""),"")</f>
        <v>Toggle defaults to annual; the monthly price appears only after switching.</v>
      </c>
      <c r="F49" s="28" t="n">
        <f aca="false">IFERROR(IF(LARGE($N$9:$N$29,5)&gt;0.5,INDEX($M$9:$M$29,MATCH(LARGE($N$9:$N$29,5),$N$9:$N$29,0)),""),"")</f>
        <v>4</v>
      </c>
      <c r="G49" s="28" t="str">
        <f aca="false">IFERROR(IF(LARGE($N$9:$N$29,5)&gt;0.5,INDEX($G$9:$G$29,MATCH(LARGE($N$9:$N$29,5),$N$9:$N$29,0))&amp;"",""),"")</f>
        <v>No</v>
      </c>
      <c r="H49" s="28" t="n">
        <f aca="false">IFERROR(IF(LARGE($N$9:$N$29,5)&gt;0.5,INDEX($O$9:$O$29,MATCH(LARGE($N$9:$N$29,5),$N$9:$N$29,0)),""),"")</f>
        <v>1</v>
      </c>
    </row>
    <row r="50" customFormat="false" ht="15" hidden="false" customHeight="true" outlineLevel="0" collapsed="false">
      <c r="C50" s="17" t="s">
        <v>135</v>
      </c>
      <c r="D50" s="17"/>
      <c r="E50" s="17"/>
      <c r="F50" s="17"/>
      <c r="G50" s="17"/>
      <c r="H50" s="17"/>
      <c r="I50" s="17"/>
      <c r="J50" s="17"/>
      <c r="K50" s="17"/>
    </row>
  </sheetData>
  <mergeCells count="3">
    <mergeCell ref="B5:K5"/>
    <mergeCell ref="C41:K41"/>
    <mergeCell ref="C50:K50"/>
  </mergeCells>
  <dataValidations count="1">
    <dataValidation allowBlank="true" errorStyle="stop" operator="between" showDropDown="false" showErrorMessage="false" showInputMessage="false" sqref="G9:G29 I9:K29" type="list">
      <formula1>"Yes,Partly,No,Not sure"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6F01"/>
    <pageSetUpPr fitToPage="true"/>
  </sheetPr>
  <dimension ref="A1:P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26"/>
    <col collapsed="false" customWidth="true" hidden="false" outlineLevel="0" max="4" min="4" style="0" width="11"/>
    <col collapsed="false" customWidth="true" hidden="false" outlineLevel="0" max="5" min="5" style="0" width="8"/>
    <col collapsed="false" customWidth="true" hidden="false" outlineLevel="0" max="6" min="6" style="0" width="18"/>
    <col collapsed="false" customWidth="true" hidden="false" outlineLevel="0" max="7" min="7" style="0" width="16"/>
    <col collapsed="false" customWidth="true" hidden="false" outlineLevel="0" max="9" min="8" style="0" width="11"/>
    <col collapsed="false" customWidth="true" hidden="false" outlineLevel="0" max="10" min="10" style="0" width="10"/>
    <col collapsed="false" customWidth="true" hidden="false" outlineLevel="0" max="11" min="11" style="0" width="11"/>
    <col collapsed="false" customWidth="true" hidden="false" outlineLevel="0" max="12" min="12" style="0" width="14"/>
    <col collapsed="false" customWidth="true" hidden="false" outlineLevel="0" max="14" min="13" style="0" width="26"/>
    <col collapsed="false" customWidth="true" hidden="false" outlineLevel="0" max="15" min="15" style="0" width="11"/>
  </cols>
  <sheetData>
    <row r="1" customFormat="false" ht="21.75" hidden="false" customHeight="true" outlineLevel="0" collapsed="false">
      <c r="A1" s="1" t="s">
        <v>0</v>
      </c>
      <c r="B1" s="2"/>
      <c r="C1" s="2"/>
      <c r="D1" s="2"/>
      <c r="E1" s="2"/>
      <c r="F1" s="2"/>
      <c r="G1" s="2"/>
      <c r="H1" s="2"/>
      <c r="I1" s="2"/>
      <c r="J1" s="2"/>
      <c r="K1" s="2"/>
      <c r="L1" s="2"/>
      <c r="M1" s="2"/>
      <c r="N1" s="2"/>
      <c r="O1" s="2"/>
      <c r="P1" s="2"/>
    </row>
    <row r="2" customFormat="false" ht="24" hidden="false" customHeight="true" outlineLevel="0" collapsed="false">
      <c r="A2" s="3" t="s">
        <v>136</v>
      </c>
      <c r="B2" s="2"/>
      <c r="C2" s="2"/>
      <c r="D2" s="2"/>
      <c r="E2" s="2"/>
      <c r="F2" s="2"/>
      <c r="G2" s="2"/>
      <c r="H2" s="2"/>
      <c r="I2" s="2"/>
      <c r="J2" s="2"/>
      <c r="K2" s="2"/>
      <c r="L2" s="2"/>
      <c r="M2" s="2"/>
      <c r="N2" s="2"/>
      <c r="O2" s="2"/>
      <c r="P2" s="2"/>
    </row>
    <row r="3" customFormat="false" ht="19.5" hidden="false" customHeight="true" outlineLevel="0" collapsed="false">
      <c r="A3" s="4" t="s">
        <v>137</v>
      </c>
      <c r="B3" s="5"/>
      <c r="C3" s="5"/>
      <c r="D3" s="5"/>
      <c r="E3" s="5"/>
      <c r="F3" s="5"/>
      <c r="G3" s="5"/>
      <c r="H3" s="5"/>
      <c r="I3" s="5"/>
      <c r="J3" s="5"/>
      <c r="K3" s="5"/>
      <c r="L3" s="5"/>
      <c r="M3" s="5"/>
      <c r="N3" s="5"/>
      <c r="O3" s="5"/>
      <c r="P3" s="5"/>
    </row>
    <row r="5" customFormat="false" ht="30" hidden="false" customHeight="true" outlineLevel="0" collapsed="false">
      <c r="B5" s="7" t="s">
        <v>138</v>
      </c>
      <c r="C5" s="7"/>
      <c r="D5" s="7"/>
      <c r="E5" s="7"/>
      <c r="F5" s="7"/>
      <c r="G5" s="7"/>
      <c r="H5" s="7"/>
      <c r="I5" s="7"/>
      <c r="J5" s="7"/>
      <c r="K5" s="7"/>
      <c r="L5" s="7"/>
      <c r="M5" s="7"/>
      <c r="N5" s="7"/>
      <c r="O5" s="7"/>
    </row>
    <row r="7" customFormat="false" ht="43.5" hidden="false" customHeight="true" outlineLevel="0" collapsed="false">
      <c r="B7" s="9" t="s">
        <v>139</v>
      </c>
      <c r="C7" s="9" t="s">
        <v>140</v>
      </c>
      <c r="D7" s="9" t="s">
        <v>141</v>
      </c>
      <c r="E7" s="9" t="s">
        <v>142</v>
      </c>
      <c r="F7" s="9" t="s">
        <v>143</v>
      </c>
      <c r="G7" s="9" t="s">
        <v>144</v>
      </c>
      <c r="H7" s="9" t="s">
        <v>145</v>
      </c>
      <c r="I7" s="9" t="s">
        <v>146</v>
      </c>
      <c r="J7" s="9" t="s">
        <v>147</v>
      </c>
      <c r="K7" s="9" t="s">
        <v>148</v>
      </c>
      <c r="L7" s="9" t="s">
        <v>149</v>
      </c>
      <c r="M7" s="9" t="s">
        <v>150</v>
      </c>
      <c r="N7" s="9" t="s">
        <v>151</v>
      </c>
      <c r="O7" s="9" t="s">
        <v>152</v>
      </c>
    </row>
    <row r="8" customFormat="false" ht="30" hidden="false" customHeight="true" outlineLevel="0" collapsed="false">
      <c r="B8" s="29" t="str">
        <f aca="false">'Diagnose - Teardown'!G8</f>
        <v>Fieldnote</v>
      </c>
      <c r="C8" s="19" t="s">
        <v>153</v>
      </c>
      <c r="D8" s="30" t="n">
        <v>46267</v>
      </c>
      <c r="E8" s="31" t="n">
        <v>3</v>
      </c>
      <c r="F8" s="19" t="s">
        <v>154</v>
      </c>
      <c r="G8" s="19" t="s">
        <v>155</v>
      </c>
      <c r="H8" s="32" t="n">
        <v>29</v>
      </c>
      <c r="I8" s="32" t="n">
        <v>24</v>
      </c>
      <c r="J8" s="27" t="n">
        <f aca="false">IF(OR(H8="",I8="",H8=0),"",1-I8/H8)</f>
        <v>0.172413793103448</v>
      </c>
      <c r="K8" s="32" t="n">
        <v>149</v>
      </c>
      <c r="L8" s="19" t="s">
        <v>156</v>
      </c>
      <c r="M8" s="19" t="s">
        <v>157</v>
      </c>
      <c r="O8" s="33" t="n">
        <f aca="false">IF(OR(H8="",$H$8="",$H$8=0),"",H8/$H$8)</f>
        <v>1</v>
      </c>
    </row>
    <row r="9" customFormat="false" ht="30" hidden="false" customHeight="true" outlineLevel="0" collapsed="false">
      <c r="B9" s="29" t="str">
        <f aca="false">'Diagnose - Teardown'!I8</f>
        <v>Competitor A</v>
      </c>
      <c r="C9" s="19"/>
      <c r="D9" s="30" t="n">
        <v>46267</v>
      </c>
      <c r="E9" s="31" t="n">
        <v>3</v>
      </c>
      <c r="F9" s="19" t="s">
        <v>154</v>
      </c>
      <c r="G9" s="19" t="s">
        <v>158</v>
      </c>
      <c r="H9" s="32" t="n">
        <v>25</v>
      </c>
      <c r="I9" s="32" t="n">
        <v>21</v>
      </c>
      <c r="J9" s="27" t="n">
        <f aca="false">IF(OR(H9="",I9="",H9=0),"",1-I9/H9)</f>
        <v>0.16</v>
      </c>
      <c r="K9" s="32" t="n">
        <v>119</v>
      </c>
      <c r="L9" s="19" t="s">
        <v>159</v>
      </c>
      <c r="M9" s="19" t="s">
        <v>160</v>
      </c>
      <c r="O9" s="33" t="n">
        <f aca="false">IF(OR(H9="",$H$8="",$H$8=0),"",H9/$H$8)</f>
        <v>0.862068965517241</v>
      </c>
    </row>
    <row r="10" customFormat="false" ht="30" hidden="false" customHeight="true" outlineLevel="0" collapsed="false">
      <c r="B10" s="29" t="str">
        <f aca="false">'Diagnose - Teardown'!J8</f>
        <v>Competitor B</v>
      </c>
      <c r="C10" s="19"/>
      <c r="D10" s="30" t="n">
        <v>46267</v>
      </c>
      <c r="E10" s="31" t="n">
        <v>4</v>
      </c>
      <c r="F10" s="19" t="s">
        <v>161</v>
      </c>
      <c r="G10" s="19" t="s">
        <v>162</v>
      </c>
      <c r="H10" s="32"/>
      <c r="I10" s="32"/>
      <c r="J10" s="27" t="str">
        <f aca="false">IF(OR(H10="",I10="",H10=0),"",1-I10/H10)</f>
        <v/>
      </c>
      <c r="K10" s="32"/>
      <c r="L10" s="19" t="s">
        <v>163</v>
      </c>
      <c r="M10" s="19" t="s">
        <v>164</v>
      </c>
      <c r="O10" s="33" t="str">
        <f aca="false">IF(OR(H10="",$H$8="",$H$8=0),"",H10/$H$8)</f>
        <v/>
      </c>
    </row>
    <row r="11" customFormat="false" ht="30" hidden="false" customHeight="true" outlineLevel="0" collapsed="false">
      <c r="B11" s="29" t="str">
        <f aca="false">'Diagnose - Teardown'!K8</f>
        <v>Competitor C</v>
      </c>
      <c r="C11" s="19"/>
      <c r="D11" s="30" t="n">
        <v>46267</v>
      </c>
      <c r="E11" s="31" t="n">
        <v>2</v>
      </c>
      <c r="F11" s="19" t="s">
        <v>165</v>
      </c>
      <c r="G11" s="19" t="s">
        <v>166</v>
      </c>
      <c r="H11" s="32" t="n">
        <v>39</v>
      </c>
      <c r="I11" s="32" t="n">
        <v>33</v>
      </c>
      <c r="J11" s="27" t="n">
        <f aca="false">IF(OR(H11="",I11="",H11=0),"",1-I11/H11)</f>
        <v>0.153846153846154</v>
      </c>
      <c r="K11" s="32" t="n">
        <v>149</v>
      </c>
      <c r="L11" s="19" t="s">
        <v>167</v>
      </c>
      <c r="M11" s="19" t="s">
        <v>168</v>
      </c>
      <c r="O11" s="33" t="n">
        <f aca="false">IF(OR(H11="",$H$8="",$H$8=0),"",H11/$H$8)</f>
        <v>1.3448275862069</v>
      </c>
    </row>
    <row r="12" customFormat="false" ht="30" hidden="false" customHeight="true" outlineLevel="0" collapsed="false">
      <c r="B12" s="19"/>
      <c r="C12" s="19"/>
      <c r="D12" s="30"/>
      <c r="E12" s="31"/>
      <c r="F12" s="19"/>
      <c r="G12" s="19"/>
      <c r="H12" s="32"/>
      <c r="I12" s="32"/>
      <c r="J12" s="27" t="str">
        <f aca="false">IF(OR(H12="",I12="",H12=0),"",1-I12/H12)</f>
        <v/>
      </c>
      <c r="K12" s="32"/>
      <c r="L12" s="19"/>
      <c r="M12" s="19"/>
      <c r="O12" s="33" t="str">
        <f aca="false">IF(OR(H12="",$H$8="",$H$8=0),"",H12/$H$8)</f>
        <v/>
      </c>
    </row>
    <row r="13" customFormat="false" ht="30" hidden="false" customHeight="true" outlineLevel="0" collapsed="false">
      <c r="B13" s="19"/>
      <c r="C13" s="19"/>
      <c r="D13" s="30"/>
      <c r="E13" s="31"/>
      <c r="F13" s="19"/>
      <c r="G13" s="19"/>
      <c r="H13" s="32"/>
      <c r="I13" s="32"/>
      <c r="J13" s="27" t="str">
        <f aca="false">IF(OR(H13="",I13="",H13=0),"",1-I13/H13)</f>
        <v/>
      </c>
      <c r="K13" s="32"/>
      <c r="L13" s="19"/>
      <c r="M13" s="19"/>
      <c r="O13" s="33" t="str">
        <f aca="false">IF(OR(H13="",$H$8="",$H$8=0),"",H13/$H$8)</f>
        <v/>
      </c>
    </row>
    <row r="14" customFormat="false" ht="30" hidden="false" customHeight="true" outlineLevel="0" collapsed="false">
      <c r="B14" s="19"/>
      <c r="C14" s="19"/>
      <c r="D14" s="30"/>
      <c r="E14" s="31"/>
      <c r="F14" s="19"/>
      <c r="G14" s="19"/>
      <c r="H14" s="32"/>
      <c r="I14" s="32"/>
      <c r="J14" s="27" t="str">
        <f aca="false">IF(OR(H14="",I14="",H14=0),"",1-I14/H14)</f>
        <v/>
      </c>
      <c r="K14" s="32"/>
      <c r="L14" s="19"/>
      <c r="M14" s="19"/>
      <c r="O14" s="33" t="str">
        <f aca="false">IF(OR(H14="",$H$8="",$H$8=0),"",H14/$H$8)</f>
        <v/>
      </c>
    </row>
    <row r="15" customFormat="false" ht="30" hidden="false" customHeight="true" outlineLevel="0" collapsed="false">
      <c r="B15" s="19"/>
      <c r="C15" s="19"/>
      <c r="D15" s="30"/>
      <c r="E15" s="31"/>
      <c r="F15" s="19"/>
      <c r="G15" s="19"/>
      <c r="H15" s="32"/>
      <c r="I15" s="32"/>
      <c r="J15" s="27" t="str">
        <f aca="false">IF(OR(H15="",I15="",H15=0),"",1-I15/H15)</f>
        <v/>
      </c>
      <c r="K15" s="32"/>
      <c r="L15" s="19"/>
      <c r="M15" s="19"/>
      <c r="O15" s="33" t="str">
        <f aca="false">IF(OR(H15="",$H$8="",$H$8=0),"",H15/$H$8)</f>
        <v/>
      </c>
    </row>
    <row r="17" customFormat="false" ht="27.75" hidden="false" customHeight="true" outlineLevel="0" collapsed="false">
      <c r="B17" s="17" t="s">
        <v>169</v>
      </c>
      <c r="C17" s="17"/>
      <c r="D17" s="17"/>
      <c r="E17" s="17"/>
      <c r="F17" s="17"/>
      <c r="G17" s="17"/>
      <c r="H17" s="17"/>
      <c r="I17" s="17"/>
      <c r="J17" s="17"/>
      <c r="K17" s="17"/>
      <c r="L17" s="17"/>
      <c r="M17" s="17"/>
      <c r="N17" s="17"/>
      <c r="O17" s="17"/>
    </row>
    <row r="19" customFormat="false" ht="15" hidden="false" customHeight="false" outlineLevel="0" collapsed="false">
      <c r="B19" s="26" t="s">
        <v>170</v>
      </c>
      <c r="C19" s="2"/>
      <c r="D19" s="2"/>
      <c r="E19" s="2"/>
      <c r="F19" s="2"/>
      <c r="G19" s="2"/>
      <c r="H19" s="2"/>
      <c r="I19" s="2"/>
      <c r="J19" s="2"/>
      <c r="K19" s="2"/>
      <c r="L19" s="2"/>
      <c r="M19" s="2"/>
      <c r="N19" s="2"/>
      <c r="O19" s="2"/>
    </row>
    <row r="20" customFormat="false" ht="33.75" hidden="false" customHeight="true" outlineLevel="0" collapsed="false">
      <c r="B20" s="34" t="s">
        <v>171</v>
      </c>
      <c r="C20" s="34"/>
      <c r="D20" s="34"/>
      <c r="E20" s="35"/>
      <c r="F20" s="35"/>
      <c r="G20" s="35"/>
      <c r="H20" s="35"/>
      <c r="I20" s="35"/>
      <c r="J20" s="35"/>
      <c r="K20" s="35"/>
      <c r="L20" s="35"/>
      <c r="M20" s="35"/>
      <c r="N20" s="35"/>
      <c r="O20" s="35"/>
    </row>
    <row r="21" customFormat="false" ht="33.75" hidden="false" customHeight="true" outlineLevel="0" collapsed="false">
      <c r="B21" s="34" t="s">
        <v>172</v>
      </c>
      <c r="C21" s="34"/>
      <c r="D21" s="34"/>
      <c r="E21" s="35"/>
      <c r="F21" s="35"/>
      <c r="G21" s="35"/>
      <c r="H21" s="35"/>
      <c r="I21" s="35"/>
      <c r="J21" s="35"/>
      <c r="K21" s="35"/>
      <c r="L21" s="35"/>
      <c r="M21" s="35"/>
      <c r="N21" s="35"/>
      <c r="O21" s="35"/>
    </row>
    <row r="22" customFormat="false" ht="33.75" hidden="false" customHeight="true" outlineLevel="0" collapsed="false">
      <c r="B22" s="34" t="s">
        <v>173</v>
      </c>
      <c r="C22" s="34"/>
      <c r="D22" s="34"/>
      <c r="E22" s="35"/>
      <c r="F22" s="35"/>
      <c r="G22" s="35"/>
      <c r="H22" s="35"/>
      <c r="I22" s="35"/>
      <c r="J22" s="35"/>
      <c r="K22" s="35"/>
      <c r="L22" s="35"/>
      <c r="M22" s="35"/>
      <c r="N22" s="35"/>
      <c r="O22" s="35"/>
    </row>
  </sheetData>
  <mergeCells count="11">
    <mergeCell ref="B5:O5"/>
    <mergeCell ref="B17:O17"/>
    <mergeCell ref="B20:D20"/>
    <mergeCell ref="C20:D20"/>
    <mergeCell ref="E20:O20"/>
    <mergeCell ref="B21:D21"/>
    <mergeCell ref="C21:D21"/>
    <mergeCell ref="E21:O21"/>
    <mergeCell ref="B22:D22"/>
    <mergeCell ref="C22:D22"/>
    <mergeCell ref="E22:O22"/>
  </mergeCells>
  <dataValidations count="1">
    <dataValidation allowBlank="true" errorStyle="stop" operator="greaterThan" showDropDown="false" showErrorMessage="false" showInputMessage="false" sqref="D8:D15"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A800"/>
    <pageSetUpPr fitToPage="true"/>
  </sheetPr>
  <dimension ref="A1:F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34"/>
    <col collapsed="false" customWidth="true" hidden="false" outlineLevel="0" max="4" min="4" style="0" width="4"/>
    <col collapsed="false" customWidth="true" hidden="false" outlineLevel="0" max="5" min="5" style="0" width="62"/>
    <col collapsed="false" customWidth="true" hidden="false" outlineLevel="0" max="6" min="6" style="0" width="3"/>
  </cols>
  <sheetData>
    <row r="1" customFormat="false" ht="21.75" hidden="false" customHeight="true" outlineLevel="0" collapsed="false">
      <c r="A1" s="1" t="s">
        <v>0</v>
      </c>
      <c r="B1" s="2"/>
      <c r="C1" s="2"/>
      <c r="D1" s="2"/>
      <c r="E1" s="2"/>
      <c r="F1" s="2"/>
    </row>
    <row r="2" customFormat="false" ht="24" hidden="false" customHeight="true" outlineLevel="0" collapsed="false">
      <c r="A2" s="3" t="s">
        <v>174</v>
      </c>
      <c r="B2" s="2"/>
      <c r="C2" s="2"/>
      <c r="D2" s="2"/>
      <c r="E2" s="2"/>
      <c r="F2" s="2"/>
    </row>
    <row r="3" customFormat="false" ht="19.5" hidden="false" customHeight="true" outlineLevel="0" collapsed="false">
      <c r="A3" s="4" t="s">
        <v>175</v>
      </c>
      <c r="B3" s="5"/>
      <c r="C3" s="5"/>
      <c r="D3" s="5"/>
      <c r="E3" s="5"/>
      <c r="F3" s="5"/>
    </row>
    <row r="5" customFormat="false" ht="15" hidden="false" customHeight="false" outlineLevel="0" collapsed="false">
      <c r="B5" s="26" t="s">
        <v>176</v>
      </c>
      <c r="C5" s="2"/>
      <c r="D5" s="2"/>
      <c r="E5" s="2"/>
    </row>
    <row r="6" customFormat="false" ht="45.75" hidden="false" customHeight="true" outlineLevel="0" collapsed="false">
      <c r="B6" s="15" t="s">
        <v>177</v>
      </c>
      <c r="C6" s="19" t="s">
        <v>178</v>
      </c>
      <c r="E6" s="18" t="s">
        <v>179</v>
      </c>
    </row>
    <row r="7" customFormat="false" ht="45.75" hidden="false" customHeight="true" outlineLevel="0" collapsed="false">
      <c r="B7" s="15" t="s">
        <v>180</v>
      </c>
      <c r="C7" s="19" t="s">
        <v>181</v>
      </c>
      <c r="E7" s="18" t="s">
        <v>182</v>
      </c>
    </row>
    <row r="8" customFormat="false" ht="45.75" hidden="false" customHeight="true" outlineLevel="0" collapsed="false">
      <c r="B8" s="15" t="s">
        <v>183</v>
      </c>
      <c r="C8" s="19" t="s">
        <v>184</v>
      </c>
      <c r="E8" s="18" t="s">
        <v>185</v>
      </c>
    </row>
    <row r="9" customFormat="false" ht="45.75" hidden="false" customHeight="true" outlineLevel="0" collapsed="false">
      <c r="B9" s="15" t="s">
        <v>186</v>
      </c>
      <c r="C9" s="19" t="s">
        <v>187</v>
      </c>
      <c r="E9" s="18" t="s">
        <v>188</v>
      </c>
    </row>
    <row r="10" customFormat="false" ht="45.75" hidden="false" customHeight="true" outlineLevel="0" collapsed="false">
      <c r="B10" s="15" t="s">
        <v>189</v>
      </c>
      <c r="C10" s="19" t="s">
        <v>190</v>
      </c>
      <c r="E10" s="18" t="s">
        <v>191</v>
      </c>
    </row>
    <row r="12" customFormat="false" ht="15" hidden="false" customHeight="false" outlineLevel="0" collapsed="false">
      <c r="B12" s="26" t="s">
        <v>192</v>
      </c>
      <c r="C12" s="2"/>
      <c r="D12" s="2"/>
      <c r="E12" s="2"/>
    </row>
    <row r="13" customFormat="false" ht="31.5" hidden="false" customHeight="true" outlineLevel="0" collapsed="false">
      <c r="B13" s="15" t="s">
        <v>193</v>
      </c>
      <c r="C13" s="36" t="n">
        <v>49</v>
      </c>
      <c r="E13" s="18" t="s">
        <v>194</v>
      </c>
    </row>
    <row r="14" customFormat="false" ht="31.5" hidden="false" customHeight="true" outlineLevel="0" collapsed="false">
      <c r="B14" s="15" t="s">
        <v>195</v>
      </c>
      <c r="C14" s="36" t="n">
        <v>59</v>
      </c>
      <c r="E14" s="18" t="s">
        <v>196</v>
      </c>
    </row>
    <row r="15" customFormat="false" ht="31.5" hidden="false" customHeight="true" outlineLevel="0" collapsed="false">
      <c r="B15" s="15" t="s">
        <v>197</v>
      </c>
      <c r="C15" s="37" t="n">
        <v>0.02</v>
      </c>
      <c r="E15" s="18" t="s">
        <v>198</v>
      </c>
    </row>
    <row r="16" customFormat="false" ht="31.5" hidden="false" customHeight="true" outlineLevel="0" collapsed="false">
      <c r="B16" s="15" t="s">
        <v>199</v>
      </c>
      <c r="C16" s="37" t="n">
        <v>0.018</v>
      </c>
      <c r="E16" s="18" t="s">
        <v>200</v>
      </c>
    </row>
    <row r="17" customFormat="false" ht="31.5" hidden="false" customHeight="true" outlineLevel="0" collapsed="false">
      <c r="B17" s="15" t="s">
        <v>201</v>
      </c>
      <c r="C17" s="38" t="n">
        <v>3000</v>
      </c>
      <c r="E17" s="18" t="s">
        <v>202</v>
      </c>
    </row>
    <row r="18" customFormat="false" ht="31.5" hidden="false" customHeight="true" outlineLevel="0" collapsed="false">
      <c r="B18" s="15" t="s">
        <v>203</v>
      </c>
      <c r="C18" s="39" t="n">
        <v>1</v>
      </c>
      <c r="E18" s="18" t="s">
        <v>204</v>
      </c>
    </row>
    <row r="19" customFormat="false" ht="31.5" hidden="false" customHeight="true" outlineLevel="0" collapsed="false">
      <c r="B19" s="15" t="s">
        <v>205</v>
      </c>
      <c r="C19" s="40" t="n">
        <v>0.05</v>
      </c>
      <c r="E19" s="18" t="s">
        <v>206</v>
      </c>
    </row>
    <row r="20" customFormat="false" ht="31.5" hidden="false" customHeight="true" outlineLevel="0" collapsed="false">
      <c r="B20" s="15" t="s">
        <v>207</v>
      </c>
      <c r="C20" s="39" t="n">
        <v>0.8</v>
      </c>
      <c r="E20" s="18" t="s">
        <v>208</v>
      </c>
    </row>
    <row r="21" customFormat="false" ht="31.5" hidden="false" customHeight="true" outlineLevel="0" collapsed="false">
      <c r="B21" s="15" t="s">
        <v>209</v>
      </c>
      <c r="C21" s="31" t="n">
        <v>8</v>
      </c>
      <c r="E21" s="18" t="s">
        <v>210</v>
      </c>
    </row>
    <row r="23" customFormat="false" ht="15" hidden="false" customHeight="false" outlineLevel="0" collapsed="false">
      <c r="B23" s="26" t="s">
        <v>211</v>
      </c>
      <c r="C23" s="2"/>
      <c r="D23" s="2"/>
      <c r="E23" s="2"/>
    </row>
    <row r="24" customFormat="false" ht="31.5" hidden="false" customHeight="true" outlineLevel="0" collapsed="false">
      <c r="B24" s="41" t="s">
        <v>212</v>
      </c>
      <c r="C24" s="42" t="n">
        <f aca="false">IF($C$13=0,"",$C$14/$C$13-1)</f>
        <v>0.204081632653061</v>
      </c>
      <c r="E24" s="18" t="s">
        <v>213</v>
      </c>
    </row>
    <row r="25" customFormat="false" ht="31.5" hidden="false" customHeight="true" outlineLevel="0" collapsed="false">
      <c r="B25" s="41" t="s">
        <v>214</v>
      </c>
      <c r="C25" s="43" t="n">
        <f aca="false">IF($C$14=0,"",$C$15*$C$13/$C$14)</f>
        <v>0.0166101694915254</v>
      </c>
      <c r="E25" s="18" t="s">
        <v>215</v>
      </c>
    </row>
    <row r="26" customFormat="false" ht="31.5" hidden="false" customHeight="true" outlineLevel="0" collapsed="false">
      <c r="B26" s="41" t="s">
        <v>216</v>
      </c>
      <c r="C26" s="42" t="n">
        <f aca="false">IF($C$14=0,"",$C$13/$C$14-1)</f>
        <v>-0.169491525423729</v>
      </c>
      <c r="E26" s="18" t="s">
        <v>217</v>
      </c>
    </row>
    <row r="27" customFormat="false" ht="31.5" hidden="false" customHeight="true" outlineLevel="0" collapsed="false">
      <c r="B27" s="41" t="s">
        <v>218</v>
      </c>
      <c r="C27" s="44" t="n">
        <f aca="false">($C$13*$C$15)</f>
        <v>0.98</v>
      </c>
      <c r="E27" s="18"/>
    </row>
    <row r="28" customFormat="false" ht="31.5" hidden="false" customHeight="true" outlineLevel="0" collapsed="false">
      <c r="B28" s="41" t="s">
        <v>219</v>
      </c>
      <c r="C28" s="44" t="n">
        <f aca="false">($C$14*$C$16)</f>
        <v>1.062</v>
      </c>
      <c r="E28" s="18"/>
    </row>
    <row r="29" customFormat="false" ht="31.5" hidden="false" customHeight="true" outlineLevel="0" collapsed="false">
      <c r="B29" s="41" t="s">
        <v>220</v>
      </c>
      <c r="C29" s="42" t="n">
        <f aca="false">IF(($C$13*$C$15)=0,"",($C$14*$C$16)/($C$13*$C$15)-1)</f>
        <v>0.083673469387755</v>
      </c>
      <c r="E29" s="18" t="s">
        <v>221</v>
      </c>
    </row>
    <row r="30" customFormat="false" ht="31.5" hidden="false" customHeight="true" outlineLevel="0" collapsed="false">
      <c r="B30" s="41" t="s">
        <v>222</v>
      </c>
      <c r="C30" s="45" t="n">
        <f aca="false">IF(ABS(($C$14*$C$16)-($C$13*$C$15))&lt;0.000000001,"no difference to detect",ROUNDUP((NORMSINV(1-$C$19/2)+NORMSINV($C$20))^2*(($C$13^2*$C$15*(1-$C$15))+($C$14^2*$C$16*(1-$C$16)))/(($C$14*$C$16)-($C$13*$C$15))^2,0))</f>
        <v>126757</v>
      </c>
      <c r="E30" s="18" t="s">
        <v>223</v>
      </c>
    </row>
    <row r="31" customFormat="false" ht="31.5" hidden="false" customHeight="true" outlineLevel="0" collapsed="false">
      <c r="B31" s="41" t="s">
        <v>224</v>
      </c>
      <c r="C31" s="45" t="n">
        <f aca="false">IF(ISNUMBER(C30),IF($C$17*$C$18=0,"",ROUNDUP(2*C30/($C$17*$C$18),0)),"")</f>
        <v>85</v>
      </c>
      <c r="E31" s="18" t="s">
        <v>225</v>
      </c>
    </row>
    <row r="32" customFormat="false" ht="31.5" hidden="false" customHeight="true" outlineLevel="0" collapsed="false">
      <c r="B32" s="41" t="s">
        <v>226</v>
      </c>
      <c r="C32" s="46" t="n">
        <f aca="false">IF($C$17*$C$18*$C$21=0,"",IF(($C$13*$C$15)=0,"",(NORMSINV(1-$C$19/2)+NORMSINV($C$20))*SQRT(2*($C$13^2*$C$15*(1-$C$15))/($C$17*$C$18*$C$21/2))/($C$13*$C$15)))</f>
        <v>0.253178167497089</v>
      </c>
      <c r="E32" s="18" t="s">
        <v>227</v>
      </c>
    </row>
    <row r="33" customFormat="false" ht="48" hidden="false" customHeight="true" outlineLevel="0" collapsed="false">
      <c r="B33" s="47" t="s">
        <v>228</v>
      </c>
      <c r="C33" s="48" t="str">
        <f aca="false">IF(NOT(ISNUMBER(C30)),"Your two guesses give the same revenue per visitor, so there is nothing for a test to detect. Revisit the guess.",IF(C31&lt;=$C$21,"A live test can answer this in about "&amp;C31&amp;" weeks. Run it to the full planned size, and do not stop early because it looks good.","A live test cannot answer this in "&amp;$C$21&amp;" weeks: it would need about "&amp;TEXT(C31,"#,##0")&amp;". In "&amp;$C$21&amp;" weeks you could only detect a change of about "&amp;TEXT(C32,"0%")&amp;" in revenue per visitor. Use an alternative in section 5."))</f>
        <v>A live test cannot answer this in 8 weeks: it would need about 85. In 8 weeks you could only detect a change of about 25% in revenue per visitor. Use an alternative in section 5.</v>
      </c>
      <c r="D33" s="48"/>
      <c r="E33" s="48"/>
    </row>
    <row r="34" customFormat="false" ht="30" hidden="false" customHeight="true" outlineLevel="0" collapsed="false">
      <c r="B34" s="17" t="s">
        <v>229</v>
      </c>
      <c r="C34" s="17"/>
      <c r="D34" s="17"/>
      <c r="E34" s="17"/>
    </row>
    <row r="36" customFormat="false" ht="15" hidden="false" customHeight="false" outlineLevel="0" collapsed="false">
      <c r="B36" s="26" t="s">
        <v>230</v>
      </c>
      <c r="C36" s="2"/>
      <c r="D36" s="2"/>
      <c r="E36" s="2"/>
    </row>
    <row r="37" customFormat="false" ht="33.75" hidden="false" customHeight="true" outlineLevel="0" collapsed="false">
      <c r="B37" s="15" t="s">
        <v>231</v>
      </c>
      <c r="C37" s="35" t="s">
        <v>232</v>
      </c>
      <c r="D37" s="35"/>
      <c r="E37" s="35"/>
    </row>
    <row r="38" customFormat="false" ht="33.75" hidden="false" customHeight="true" outlineLevel="0" collapsed="false">
      <c r="B38" s="15" t="s">
        <v>233</v>
      </c>
      <c r="C38" s="35" t="s">
        <v>234</v>
      </c>
      <c r="D38" s="35"/>
      <c r="E38" s="35"/>
    </row>
    <row r="39" customFormat="false" ht="33.75" hidden="false" customHeight="true" outlineLevel="0" collapsed="false">
      <c r="B39" s="15" t="s">
        <v>235</v>
      </c>
      <c r="C39" s="35" t="s">
        <v>236</v>
      </c>
      <c r="D39" s="35"/>
      <c r="E39" s="35"/>
    </row>
    <row r="40" customFormat="false" ht="33.75" hidden="false" customHeight="true" outlineLevel="0" collapsed="false">
      <c r="B40" s="15" t="s">
        <v>237</v>
      </c>
      <c r="C40" s="35" t="s">
        <v>238</v>
      </c>
      <c r="D40" s="35"/>
      <c r="E40" s="35"/>
    </row>
    <row r="41" customFormat="false" ht="33.75" hidden="false" customHeight="true" outlineLevel="0" collapsed="false">
      <c r="B41" s="15" t="s">
        <v>239</v>
      </c>
      <c r="C41" s="35" t="s">
        <v>240</v>
      </c>
      <c r="D41" s="35"/>
      <c r="E41" s="35"/>
    </row>
    <row r="42" customFormat="false" ht="33.75" hidden="false" customHeight="true" outlineLevel="0" collapsed="false">
      <c r="B42" s="15" t="s">
        <v>241</v>
      </c>
      <c r="C42" s="35" t="s">
        <v>242</v>
      </c>
      <c r="D42" s="35"/>
      <c r="E42" s="35"/>
    </row>
    <row r="43" customFormat="false" ht="33.75" hidden="false" customHeight="true" outlineLevel="0" collapsed="false">
      <c r="B43" s="15" t="s">
        <v>243</v>
      </c>
      <c r="C43" s="35" t="s">
        <v>244</v>
      </c>
      <c r="D43" s="35"/>
      <c r="E43" s="35"/>
    </row>
    <row r="45" customFormat="false" ht="15" hidden="false" customHeight="false" outlineLevel="0" collapsed="false">
      <c r="B45" s="26" t="s">
        <v>245</v>
      </c>
      <c r="C45" s="2"/>
      <c r="D45" s="2"/>
      <c r="E45" s="2"/>
    </row>
    <row r="46" customFormat="false" ht="15" hidden="false" customHeight="true" outlineLevel="0" collapsed="false">
      <c r="B46" s="9" t="s">
        <v>246</v>
      </c>
      <c r="C46" s="9" t="s">
        <v>247</v>
      </c>
      <c r="D46" s="9"/>
      <c r="E46" s="9" t="s">
        <v>248</v>
      </c>
    </row>
    <row r="47" customFormat="false" ht="61.5" hidden="false" customHeight="true" outlineLevel="0" collapsed="false">
      <c r="B47" s="15" t="s">
        <v>249</v>
      </c>
      <c r="C47" s="13" t="s">
        <v>250</v>
      </c>
      <c r="D47" s="13"/>
      <c r="E47" s="12" t="s">
        <v>251</v>
      </c>
    </row>
    <row r="48" customFormat="false" ht="61.5" hidden="false" customHeight="true" outlineLevel="0" collapsed="false">
      <c r="B48" s="15" t="s">
        <v>252</v>
      </c>
      <c r="C48" s="13" t="s">
        <v>253</v>
      </c>
      <c r="D48" s="13"/>
      <c r="E48" s="12" t="s">
        <v>254</v>
      </c>
    </row>
    <row r="49" customFormat="false" ht="61.5" hidden="false" customHeight="true" outlineLevel="0" collapsed="false">
      <c r="B49" s="15" t="s">
        <v>255</v>
      </c>
      <c r="C49" s="13" t="s">
        <v>256</v>
      </c>
      <c r="D49" s="13"/>
      <c r="E49" s="12" t="s">
        <v>257</v>
      </c>
    </row>
    <row r="50" customFormat="false" ht="61.5" hidden="false" customHeight="true" outlineLevel="0" collapsed="false">
      <c r="B50" s="15" t="s">
        <v>258</v>
      </c>
      <c r="C50" s="13" t="s">
        <v>259</v>
      </c>
      <c r="D50" s="13"/>
      <c r="E50" s="12" t="s">
        <v>260</v>
      </c>
    </row>
    <row r="52" customFormat="false" ht="15" hidden="false" customHeight="false" outlineLevel="0" collapsed="false">
      <c r="B52" s="26" t="s">
        <v>261</v>
      </c>
      <c r="C52" s="2"/>
      <c r="D52" s="2"/>
      <c r="E52" s="2"/>
    </row>
    <row r="53" customFormat="false" ht="31.5" hidden="false" customHeight="true" outlineLevel="0" collapsed="false">
      <c r="B53" s="13" t="s">
        <v>262</v>
      </c>
      <c r="C53" s="13"/>
      <c r="D53" s="13"/>
      <c r="E53" s="13"/>
    </row>
    <row r="54" customFormat="false" ht="31.5" hidden="false" customHeight="true" outlineLevel="0" collapsed="false">
      <c r="B54" s="13" t="s">
        <v>263</v>
      </c>
      <c r="C54" s="13"/>
      <c r="D54" s="13"/>
      <c r="E54" s="13"/>
    </row>
    <row r="55" customFormat="false" ht="31.5" hidden="false" customHeight="true" outlineLevel="0" collapsed="false">
      <c r="B55" s="13" t="s">
        <v>264</v>
      </c>
      <c r="C55" s="13"/>
      <c r="D55" s="13"/>
      <c r="E55" s="13"/>
    </row>
    <row r="56" customFormat="false" ht="31.5" hidden="false" customHeight="true" outlineLevel="0" collapsed="false">
      <c r="B56" s="13" t="s">
        <v>265</v>
      </c>
      <c r="C56" s="13"/>
      <c r="D56" s="13"/>
      <c r="E56" s="13"/>
    </row>
    <row r="57" customFormat="false" ht="31.5" hidden="false" customHeight="true" outlineLevel="0" collapsed="false">
      <c r="B57" s="13" t="s">
        <v>266</v>
      </c>
      <c r="C57" s="13"/>
      <c r="D57" s="13"/>
      <c r="E57" s="13"/>
    </row>
    <row r="58" customFormat="false" ht="31.5" hidden="false" customHeight="true" outlineLevel="0" collapsed="false">
      <c r="B58" s="13" t="s">
        <v>267</v>
      </c>
      <c r="C58" s="13"/>
      <c r="D58" s="13"/>
      <c r="E58" s="13"/>
    </row>
  </sheetData>
  <mergeCells count="20">
    <mergeCell ref="C33:E33"/>
    <mergeCell ref="B34:E34"/>
    <mergeCell ref="C37:E37"/>
    <mergeCell ref="C38:E38"/>
    <mergeCell ref="C39:E39"/>
    <mergeCell ref="C40:E40"/>
    <mergeCell ref="C41:E41"/>
    <mergeCell ref="C42:E42"/>
    <mergeCell ref="C43:E43"/>
    <mergeCell ref="C46:D46"/>
    <mergeCell ref="C47:D47"/>
    <mergeCell ref="C48:D48"/>
    <mergeCell ref="C49:D49"/>
    <mergeCell ref="C50:D50"/>
    <mergeCell ref="B53:E53"/>
    <mergeCell ref="B54:E54"/>
    <mergeCell ref="B55:E55"/>
    <mergeCell ref="B56:E56"/>
    <mergeCell ref="B57:E57"/>
    <mergeCell ref="B58:E5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2D"/>
    <pageSetUpPr fitToPage="true"/>
  </sheetPr>
  <dimension ref="A1:A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30"/>
    <col collapsed="false" customWidth="true" hidden="false" outlineLevel="0" max="4" min="4" style="0" width="13"/>
    <col collapsed="false" customWidth="true" hidden="false" outlineLevel="0" max="6" min="5" style="0" width="11"/>
    <col collapsed="false" customWidth="true" hidden="false" outlineLevel="0" max="7" min="7" style="0" width="7"/>
    <col collapsed="false" customWidth="true" hidden="false" outlineLevel="0" max="9" min="8" style="0" width="9"/>
    <col collapsed="false" customWidth="true" hidden="false" outlineLevel="0" max="10" min="10" style="0" width="11"/>
    <col collapsed="false" customWidth="true" hidden="false" outlineLevel="0" max="11" min="11" style="0" width="10"/>
    <col collapsed="false" customWidth="true" hidden="false" outlineLevel="0" max="12" min="12" style="0" width="12"/>
    <col collapsed="false" customWidth="true" hidden="false" outlineLevel="0" max="13" min="13" style="0" width="11"/>
    <col collapsed="false" customWidth="true" hidden="false" outlineLevel="0" max="14" min="14" style="0" width="10"/>
    <col collapsed="false" customWidth="true" hidden="false" outlineLevel="0" max="16" min="15" style="0" width="12"/>
    <col collapsed="false" customWidth="true" hidden="false" outlineLevel="0" max="18" min="17" style="0" width="9"/>
    <col collapsed="false" customWidth="true" hidden="false" outlineLevel="0" max="20" min="19" style="0" width="10"/>
    <col collapsed="false" customWidth="true" hidden="false" outlineLevel="0" max="21" min="21" style="0" width="11"/>
    <col collapsed="false" customWidth="true" hidden="false" outlineLevel="0" max="22" min="22" style="0" width="9"/>
    <col collapsed="false" customWidth="true" hidden="false" outlineLevel="0" max="23" min="23" style="0" width="36"/>
    <col collapsed="false" customWidth="true" hidden="false" outlineLevel="0" max="24" min="24" style="0" width="14"/>
    <col collapsed="false" customWidth="true" hidden="false" outlineLevel="0" max="25" min="25" style="0" width="12"/>
    <col collapsed="false" customWidth="true" hidden="false" outlineLevel="0" max="27" min="26" style="0" width="10"/>
    <col collapsed="false" customWidth="true" hidden="false" outlineLevel="0" max="28" min="28" style="0" width="36"/>
  </cols>
  <sheetData>
    <row r="1" customFormat="false" ht="21.75" hidden="false" customHeight="true" outlineLevel="0" collapsed="false">
      <c r="A1" s="1" t="s">
        <v>0</v>
      </c>
      <c r="B1" s="2"/>
      <c r="C1" s="2"/>
      <c r="D1" s="2"/>
      <c r="E1" s="2"/>
      <c r="F1" s="2"/>
      <c r="G1" s="2"/>
      <c r="H1" s="2"/>
      <c r="I1" s="2"/>
      <c r="J1" s="2"/>
      <c r="K1" s="2"/>
      <c r="L1" s="2"/>
      <c r="M1" s="2"/>
      <c r="N1" s="2"/>
      <c r="O1" s="2"/>
      <c r="P1" s="2"/>
      <c r="Q1" s="2"/>
      <c r="R1" s="2"/>
      <c r="S1" s="2"/>
      <c r="T1" s="2"/>
      <c r="U1" s="2"/>
      <c r="V1" s="2"/>
      <c r="W1" s="2"/>
      <c r="X1" s="2"/>
      <c r="Y1" s="2"/>
      <c r="Z1" s="2"/>
      <c r="AA1" s="2"/>
      <c r="AB1" s="2"/>
    </row>
    <row r="2" customFormat="false" ht="24" hidden="false" customHeight="true" outlineLevel="0" collapsed="false">
      <c r="A2" s="3" t="s">
        <v>268</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19.5" hidden="false" customHeight="true" outlineLevel="0" collapsed="false">
      <c r="A3" s="4" t="s">
        <v>269</v>
      </c>
      <c r="B3" s="5"/>
      <c r="C3" s="5"/>
      <c r="D3" s="5"/>
      <c r="E3" s="5"/>
      <c r="F3" s="5"/>
      <c r="G3" s="5"/>
      <c r="H3" s="5"/>
      <c r="I3" s="5"/>
      <c r="J3" s="5"/>
      <c r="K3" s="5"/>
      <c r="L3" s="5"/>
      <c r="M3" s="5"/>
      <c r="N3" s="5"/>
      <c r="O3" s="5"/>
      <c r="P3" s="5"/>
      <c r="Q3" s="5"/>
      <c r="R3" s="5"/>
      <c r="S3" s="5"/>
      <c r="T3" s="5"/>
      <c r="U3" s="5"/>
      <c r="V3" s="5"/>
      <c r="W3" s="5"/>
      <c r="X3" s="5"/>
      <c r="Y3" s="5"/>
      <c r="Z3" s="5"/>
      <c r="AA3" s="5"/>
      <c r="AB3" s="5"/>
    </row>
    <row r="5" customFormat="false" ht="43.5" hidden="false" customHeight="true" outlineLevel="0" collapsed="false">
      <c r="B5" s="7" t="s">
        <v>270</v>
      </c>
      <c r="C5" s="7"/>
      <c r="D5" s="7"/>
      <c r="E5" s="7"/>
      <c r="F5" s="7"/>
      <c r="G5" s="7"/>
      <c r="H5" s="7"/>
      <c r="I5" s="7"/>
      <c r="J5" s="7"/>
      <c r="K5" s="7"/>
      <c r="L5" s="7"/>
      <c r="M5" s="7"/>
      <c r="N5" s="7"/>
      <c r="O5" s="7"/>
      <c r="P5" s="7"/>
      <c r="Q5" s="7"/>
      <c r="R5" s="7"/>
      <c r="S5" s="7"/>
      <c r="T5" s="7"/>
      <c r="U5" s="7"/>
      <c r="V5" s="7"/>
      <c r="W5" s="7"/>
      <c r="X5" s="7"/>
      <c r="Y5" s="7"/>
      <c r="Z5" s="7"/>
      <c r="AA5" s="7"/>
      <c r="AB5" s="7"/>
    </row>
    <row r="7" customFormat="false" ht="43.5" hidden="false" customHeight="true" outlineLevel="0" collapsed="false">
      <c r="B7" s="9" t="s">
        <v>271</v>
      </c>
      <c r="C7" s="9" t="s">
        <v>177</v>
      </c>
      <c r="D7" s="9" t="s">
        <v>13</v>
      </c>
      <c r="E7" s="9" t="s">
        <v>272</v>
      </c>
      <c r="F7" s="9" t="s">
        <v>273</v>
      </c>
      <c r="G7" s="9" t="s">
        <v>274</v>
      </c>
      <c r="H7" s="9" t="s">
        <v>275</v>
      </c>
      <c r="I7" s="9" t="s">
        <v>276</v>
      </c>
      <c r="J7" s="9" t="s">
        <v>277</v>
      </c>
      <c r="K7" s="9" t="s">
        <v>278</v>
      </c>
      <c r="L7" s="9" t="s">
        <v>279</v>
      </c>
      <c r="M7" s="9" t="s">
        <v>280</v>
      </c>
      <c r="N7" s="9" t="s">
        <v>281</v>
      </c>
      <c r="O7" s="9" t="s">
        <v>282</v>
      </c>
      <c r="P7" s="9" t="s">
        <v>283</v>
      </c>
      <c r="Q7" s="9" t="s">
        <v>284</v>
      </c>
      <c r="R7" s="9" t="s">
        <v>285</v>
      </c>
      <c r="S7" s="9" t="s">
        <v>286</v>
      </c>
      <c r="T7" s="9" t="s">
        <v>287</v>
      </c>
      <c r="U7" s="9" t="s">
        <v>288</v>
      </c>
      <c r="V7" s="9" t="s">
        <v>289</v>
      </c>
      <c r="W7" s="9" t="s">
        <v>290</v>
      </c>
      <c r="X7" s="9" t="s">
        <v>291</v>
      </c>
      <c r="Y7" s="9" t="s">
        <v>292</v>
      </c>
      <c r="Z7" s="9" t="s">
        <v>293</v>
      </c>
      <c r="AA7" s="9" t="s">
        <v>294</v>
      </c>
      <c r="AB7" s="9" t="s">
        <v>295</v>
      </c>
    </row>
    <row r="8" customFormat="false" ht="57.75" hidden="false" customHeight="true" outlineLevel="0" collapsed="false">
      <c r="B8" s="25" t="str">
        <f aca="false">IF(C8="","","T-"&amp;TEXT(ROW()-7,"000"))</f>
        <v>T-001</v>
      </c>
      <c r="C8" s="19" t="s">
        <v>178</v>
      </c>
      <c r="D8" s="19" t="s">
        <v>296</v>
      </c>
      <c r="E8" s="30" t="n">
        <v>46174</v>
      </c>
      <c r="F8" s="30" t="n">
        <v>46215</v>
      </c>
      <c r="G8" s="49" t="n">
        <f aca="false">IF(OR(E8="",F8=""),"",F8-E8+1)</f>
        <v>42</v>
      </c>
      <c r="H8" s="32" t="n">
        <v>49</v>
      </c>
      <c r="I8" s="32" t="n">
        <v>59</v>
      </c>
      <c r="J8" s="38" t="n">
        <v>9000</v>
      </c>
      <c r="K8" s="38" t="n">
        <v>180</v>
      </c>
      <c r="L8" s="32" t="n">
        <v>8820</v>
      </c>
      <c r="M8" s="38" t="n">
        <v>9000</v>
      </c>
      <c r="N8" s="38" t="n">
        <v>171</v>
      </c>
      <c r="O8" s="32" t="n">
        <v>10089</v>
      </c>
      <c r="P8" s="38" t="n">
        <v>126700</v>
      </c>
      <c r="Q8" s="50" t="n">
        <f aca="false">IF(OR(J8="",J8=0,K8=""),"",K8/J8)</f>
        <v>0.02</v>
      </c>
      <c r="R8" s="50" t="n">
        <f aca="false">IF(OR(M8="",M8=0,N8=""),"",N8/M8)</f>
        <v>0.019</v>
      </c>
      <c r="S8" s="51" t="n">
        <f aca="false">IF(OR(J8="",J8=0,L8=""),"",L8/J8)</f>
        <v>0.98</v>
      </c>
      <c r="T8" s="51" t="n">
        <f aca="false">IF(OR(M8="",M8=0,O8=""),"",O8/M8)</f>
        <v>1.121</v>
      </c>
      <c r="U8" s="52" t="n">
        <f aca="false">IF(OR(S8="",T8="",S8=0),"",T8/S8-1)</f>
        <v>0.143877551020408</v>
      </c>
      <c r="V8" s="53" t="n">
        <f aca="false">IF(OR(Q8="",R8="",S8="",T8=""),"",IFERROR(2*(1-NORMSDIST(ABS(T8-S8)/SQRT((L8/K8)^2*Q8*(1-Q8)/J8+(O8/N8)^2*R8*(1-R8)/M8))),""))</f>
        <v>0.206128868457255</v>
      </c>
      <c r="W8" s="24" t="str">
        <f aca="false">IF(C8="","",IF(OR(J8="",M8=""),"Enter the results",IF(P8="","Write the plan first: planned visitors per arm",IF(MIN(J8,M8)&lt;P8,"Too early: "&amp;TEXT(MIN(J8,M8)/P8,"0%")&amp;" of the planned size",IF(V8="","Check the inputs",IF(V8&lt;'Design - Test Plan'!$C$19,IF(T8&gt;S8,"B earns more per visitor","A earns more per visitor"),"No clear difference at the planned size"))))&amp;IF(OR(D8="Before-after",D8="Sales quotes"),"  (not randomised: read as direction)","")))</f>
        <v>Too early: 7% of the planned size</v>
      </c>
      <c r="X8" s="19" t="s">
        <v>297</v>
      </c>
      <c r="Y8" s="54" t="n">
        <f aca="false">IF(F8="","",F8+90)</f>
        <v>46305</v>
      </c>
      <c r="Z8" s="39"/>
      <c r="AA8" s="39"/>
      <c r="AB8" s="19" t="s">
        <v>298</v>
      </c>
    </row>
    <row r="9" customFormat="false" ht="57.75" hidden="false" customHeight="true" outlineLevel="0" collapsed="false">
      <c r="B9" s="25" t="str">
        <f aca="false">IF(C9="","","T-"&amp;TEXT(ROW()-7,"000"))</f>
        <v>T-002</v>
      </c>
      <c r="C9" s="19" t="s">
        <v>299</v>
      </c>
      <c r="D9" s="19" t="s">
        <v>300</v>
      </c>
      <c r="E9" s="30" t="n">
        <v>46179</v>
      </c>
      <c r="F9" s="30" t="n">
        <v>46291</v>
      </c>
      <c r="G9" s="49" t="n">
        <f aca="false">IF(OR(E9="",F9=""),"",F9-E9+1)</f>
        <v>113</v>
      </c>
      <c r="H9" s="32" t="n">
        <v>49</v>
      </c>
      <c r="I9" s="32" t="n">
        <v>59</v>
      </c>
      <c r="J9" s="38" t="n">
        <v>24000</v>
      </c>
      <c r="K9" s="38" t="n">
        <v>480</v>
      </c>
      <c r="L9" s="32" t="n">
        <v>23520</v>
      </c>
      <c r="M9" s="38" t="n">
        <v>24500</v>
      </c>
      <c r="N9" s="38" t="n">
        <v>441</v>
      </c>
      <c r="O9" s="32" t="n">
        <v>26019</v>
      </c>
      <c r="P9" s="38" t="n">
        <v>22000</v>
      </c>
      <c r="Q9" s="50" t="n">
        <f aca="false">IF(OR(J9="",J9=0,K9=""),"",K9/J9)</f>
        <v>0.02</v>
      </c>
      <c r="R9" s="50" t="n">
        <f aca="false">IF(OR(M9="",M9=0,N9=""),"",N9/M9)</f>
        <v>0.018</v>
      </c>
      <c r="S9" s="51" t="n">
        <f aca="false">IF(OR(J9="",J9=0,L9=""),"",L9/J9)</f>
        <v>0.98</v>
      </c>
      <c r="T9" s="51" t="n">
        <f aca="false">IF(OR(M9="",M9=0,O9=""),"",O9/M9)</f>
        <v>1.062</v>
      </c>
      <c r="U9" s="52" t="n">
        <f aca="false">IF(OR(S9="",T9="",S9=0),"",T9/S9-1)</f>
        <v>0.0836734693877552</v>
      </c>
      <c r="V9" s="53" t="n">
        <f aca="false">IF(OR(Q9="",R9="",S9="",T9=""),"",IFERROR(2*(1-NORMSDIST(ABS(T9-S9)/SQRT((L9/K9)^2*Q9*(1-Q9)/J9+(O9/N9)^2*R9*(1-R9)/M9))),""))</f>
        <v>0.220134653187702</v>
      </c>
      <c r="W9" s="24" t="str">
        <f aca="false">IF(C9="","",IF(OR(J9="",M9=""),"Enter the results",IF(P9="","Write the plan first: planned visitors per arm",IF(MIN(J9,M9)&lt;P9,"Too early: "&amp;TEXT(MIN(J9,M9)/P9,"0%")&amp;" of the planned size",IF(V9="","Check the inputs",IF(V9&lt;'Design - Test Plan'!$C$19,IF(T9&gt;S9,"B earns more per visitor","A earns more per visitor"),"No clear difference at the planned size"))))&amp;IF(OR(D9="Before-after",D9="Sales quotes"),"  (not randomised: read as direction)","")))</f>
        <v>No clear difference at the planned size  (not randomised: read as direction)</v>
      </c>
      <c r="X9" s="19" t="s">
        <v>301</v>
      </c>
      <c r="Y9" s="54" t="n">
        <f aca="false">IF(F9="","",F9+90)</f>
        <v>46381</v>
      </c>
      <c r="Z9" s="39"/>
      <c r="AA9" s="39"/>
      <c r="AB9" s="19" t="s">
        <v>302</v>
      </c>
    </row>
    <row r="10" customFormat="false" ht="18" hidden="false" customHeight="true" outlineLevel="0" collapsed="false">
      <c r="B10" s="25" t="str">
        <f aca="false">IF(C10="","","T-"&amp;TEXT(ROW()-7,"000"))</f>
        <v/>
      </c>
      <c r="C10" s="19"/>
      <c r="D10" s="19"/>
      <c r="E10" s="30"/>
      <c r="F10" s="30"/>
      <c r="G10" s="49" t="str">
        <f aca="false">IF(OR(E10="",F10=""),"",F10-E10+1)</f>
        <v/>
      </c>
      <c r="H10" s="32"/>
      <c r="I10" s="32"/>
      <c r="J10" s="38"/>
      <c r="K10" s="38"/>
      <c r="L10" s="32"/>
      <c r="M10" s="38"/>
      <c r="N10" s="38"/>
      <c r="O10" s="32"/>
      <c r="P10" s="38"/>
      <c r="Q10" s="50" t="str">
        <f aca="false">IF(OR(J10="",J10=0,K10=""),"",K10/J10)</f>
        <v/>
      </c>
      <c r="R10" s="50" t="str">
        <f aca="false">IF(OR(M10="",M10=0,N10=""),"",N10/M10)</f>
        <v/>
      </c>
      <c r="S10" s="51" t="str">
        <f aca="false">IF(OR(J10="",J10=0,L10=""),"",L10/J10)</f>
        <v/>
      </c>
      <c r="T10" s="51" t="str">
        <f aca="false">IF(OR(M10="",M10=0,O10=""),"",O10/M10)</f>
        <v/>
      </c>
      <c r="U10" s="52" t="str">
        <f aca="false">IF(OR(S10="",T10="",S10=0),"",T10/S10-1)</f>
        <v/>
      </c>
      <c r="V10" s="53" t="str">
        <f aca="false">IF(OR(Q10="",R10="",S10="",T10=""),"",IFERROR(2*(1-NORMSDIST(ABS(T10-S10)/SQRT((L10/K10)^2*Q10*(1-Q10)/J10+(O10/N10)^2*R10*(1-R10)/M10))),""))</f>
        <v/>
      </c>
      <c r="W10" s="24" t="str">
        <f aca="false">IF(C10="","",IF(OR(J10="",M10=""),"Enter the results",IF(P10="","Write the plan first: planned visitors per arm",IF(MIN(J10,M10)&lt;P10,"Too early: "&amp;TEXT(MIN(J10,M10)/P10,"0%")&amp;" of the planned size",IF(V10="","Check the inputs",IF(V10&lt;'Design - Test Plan'!$C$19,IF(T10&gt;S10,"B earns more per visitor","A earns more per visitor"),"No clear difference at the planned size"))))&amp;IF(OR(D10="Before-after",D10="Sales quotes"),"  (not randomised: read as direction)","")))</f>
        <v/>
      </c>
      <c r="X10" s="19"/>
      <c r="Y10" s="54" t="str">
        <f aca="false">IF(F10="","",F10+90)</f>
        <v/>
      </c>
      <c r="Z10" s="39"/>
      <c r="AA10" s="39"/>
      <c r="AB10" s="19"/>
    </row>
    <row r="11" customFormat="false" ht="18" hidden="false" customHeight="true" outlineLevel="0" collapsed="false">
      <c r="B11" s="25" t="str">
        <f aca="false">IF(C11="","","T-"&amp;TEXT(ROW()-7,"000"))</f>
        <v/>
      </c>
      <c r="C11" s="19"/>
      <c r="D11" s="19"/>
      <c r="E11" s="30"/>
      <c r="F11" s="30"/>
      <c r="G11" s="49" t="str">
        <f aca="false">IF(OR(E11="",F11=""),"",F11-E11+1)</f>
        <v/>
      </c>
      <c r="H11" s="32"/>
      <c r="I11" s="32"/>
      <c r="J11" s="38"/>
      <c r="K11" s="38"/>
      <c r="L11" s="32"/>
      <c r="M11" s="38"/>
      <c r="N11" s="38"/>
      <c r="O11" s="32"/>
      <c r="P11" s="38"/>
      <c r="Q11" s="50" t="str">
        <f aca="false">IF(OR(J11="",J11=0,K11=""),"",K11/J11)</f>
        <v/>
      </c>
      <c r="R11" s="50" t="str">
        <f aca="false">IF(OR(M11="",M11=0,N11=""),"",N11/M11)</f>
        <v/>
      </c>
      <c r="S11" s="51" t="str">
        <f aca="false">IF(OR(J11="",J11=0,L11=""),"",L11/J11)</f>
        <v/>
      </c>
      <c r="T11" s="51" t="str">
        <f aca="false">IF(OR(M11="",M11=0,O11=""),"",O11/M11)</f>
        <v/>
      </c>
      <c r="U11" s="52" t="str">
        <f aca="false">IF(OR(S11="",T11="",S11=0),"",T11/S11-1)</f>
        <v/>
      </c>
      <c r="V11" s="53" t="str">
        <f aca="false">IF(OR(Q11="",R11="",S11="",T11=""),"",IFERROR(2*(1-NORMSDIST(ABS(T11-S11)/SQRT((L11/K11)^2*Q11*(1-Q11)/J11+(O11/N11)^2*R11*(1-R11)/M11))),""))</f>
        <v/>
      </c>
      <c r="W11" s="24" t="str">
        <f aca="false">IF(C11="","",IF(OR(J11="",M11=""),"Enter the results",IF(P11="","Write the plan first: planned visitors per arm",IF(MIN(J11,M11)&lt;P11,"Too early: "&amp;TEXT(MIN(J11,M11)/P11,"0%")&amp;" of the planned size",IF(V11="","Check the inputs",IF(V11&lt;'Design - Test Plan'!$C$19,IF(T11&gt;S11,"B earns more per visitor","A earns more per visitor"),"No clear difference at the planned size"))))&amp;IF(OR(D11="Before-after",D11="Sales quotes"),"  (not randomised: read as direction)","")))</f>
        <v/>
      </c>
      <c r="X11" s="19"/>
      <c r="Y11" s="54" t="str">
        <f aca="false">IF(F11="","",F11+90)</f>
        <v/>
      </c>
      <c r="Z11" s="39"/>
      <c r="AA11" s="39"/>
      <c r="AB11" s="19"/>
    </row>
    <row r="12" customFormat="false" ht="18" hidden="false" customHeight="true" outlineLevel="0" collapsed="false">
      <c r="B12" s="25" t="str">
        <f aca="false">IF(C12="","","T-"&amp;TEXT(ROW()-7,"000"))</f>
        <v/>
      </c>
      <c r="C12" s="19"/>
      <c r="D12" s="19"/>
      <c r="E12" s="30"/>
      <c r="F12" s="30"/>
      <c r="G12" s="49" t="str">
        <f aca="false">IF(OR(E12="",F12=""),"",F12-E12+1)</f>
        <v/>
      </c>
      <c r="H12" s="32"/>
      <c r="I12" s="32"/>
      <c r="J12" s="38"/>
      <c r="K12" s="38"/>
      <c r="L12" s="32"/>
      <c r="M12" s="38"/>
      <c r="N12" s="38"/>
      <c r="O12" s="32"/>
      <c r="P12" s="38"/>
      <c r="Q12" s="50" t="str">
        <f aca="false">IF(OR(J12="",J12=0,K12=""),"",K12/J12)</f>
        <v/>
      </c>
      <c r="R12" s="50" t="str">
        <f aca="false">IF(OR(M12="",M12=0,N12=""),"",N12/M12)</f>
        <v/>
      </c>
      <c r="S12" s="51" t="str">
        <f aca="false">IF(OR(J12="",J12=0,L12=""),"",L12/J12)</f>
        <v/>
      </c>
      <c r="T12" s="51" t="str">
        <f aca="false">IF(OR(M12="",M12=0,O12=""),"",O12/M12)</f>
        <v/>
      </c>
      <c r="U12" s="52" t="str">
        <f aca="false">IF(OR(S12="",T12="",S12=0),"",T12/S12-1)</f>
        <v/>
      </c>
      <c r="V12" s="53" t="str">
        <f aca="false">IF(OR(Q12="",R12="",S12="",T12=""),"",IFERROR(2*(1-NORMSDIST(ABS(T12-S12)/SQRT((L12/K12)^2*Q12*(1-Q12)/J12+(O12/N12)^2*R12*(1-R12)/M12))),""))</f>
        <v/>
      </c>
      <c r="W12" s="24" t="str">
        <f aca="false">IF(C12="","",IF(OR(J12="",M12=""),"Enter the results",IF(P12="","Write the plan first: planned visitors per arm",IF(MIN(J12,M12)&lt;P12,"Too early: "&amp;TEXT(MIN(J12,M12)/P12,"0%")&amp;" of the planned size",IF(V12="","Check the inputs",IF(V12&lt;'Design - Test Plan'!$C$19,IF(T12&gt;S12,"B earns more per visitor","A earns more per visitor"),"No clear difference at the planned size"))))&amp;IF(OR(D12="Before-after",D12="Sales quotes"),"  (not randomised: read as direction)","")))</f>
        <v/>
      </c>
      <c r="X12" s="19"/>
      <c r="Y12" s="54" t="str">
        <f aca="false">IF(F12="","",F12+90)</f>
        <v/>
      </c>
      <c r="Z12" s="39"/>
      <c r="AA12" s="39"/>
      <c r="AB12" s="19"/>
    </row>
    <row r="13" customFormat="false" ht="18" hidden="false" customHeight="true" outlineLevel="0" collapsed="false">
      <c r="B13" s="25" t="str">
        <f aca="false">IF(C13="","","T-"&amp;TEXT(ROW()-7,"000"))</f>
        <v/>
      </c>
      <c r="C13" s="19"/>
      <c r="D13" s="19"/>
      <c r="E13" s="30"/>
      <c r="F13" s="30"/>
      <c r="G13" s="49" t="str">
        <f aca="false">IF(OR(E13="",F13=""),"",F13-E13+1)</f>
        <v/>
      </c>
      <c r="H13" s="32"/>
      <c r="I13" s="32"/>
      <c r="J13" s="38"/>
      <c r="K13" s="38"/>
      <c r="L13" s="32"/>
      <c r="M13" s="38"/>
      <c r="N13" s="38"/>
      <c r="O13" s="32"/>
      <c r="P13" s="38"/>
      <c r="Q13" s="50" t="str">
        <f aca="false">IF(OR(J13="",J13=0,K13=""),"",K13/J13)</f>
        <v/>
      </c>
      <c r="R13" s="50" t="str">
        <f aca="false">IF(OR(M13="",M13=0,N13=""),"",N13/M13)</f>
        <v/>
      </c>
      <c r="S13" s="51" t="str">
        <f aca="false">IF(OR(J13="",J13=0,L13=""),"",L13/J13)</f>
        <v/>
      </c>
      <c r="T13" s="51" t="str">
        <f aca="false">IF(OR(M13="",M13=0,O13=""),"",O13/M13)</f>
        <v/>
      </c>
      <c r="U13" s="52" t="str">
        <f aca="false">IF(OR(S13="",T13="",S13=0),"",T13/S13-1)</f>
        <v/>
      </c>
      <c r="V13" s="53" t="str">
        <f aca="false">IF(OR(Q13="",R13="",S13="",T13=""),"",IFERROR(2*(1-NORMSDIST(ABS(T13-S13)/SQRT((L13/K13)^2*Q13*(1-Q13)/J13+(O13/N13)^2*R13*(1-R13)/M13))),""))</f>
        <v/>
      </c>
      <c r="W13" s="24" t="str">
        <f aca="false">IF(C13="","",IF(OR(J13="",M13=""),"Enter the results",IF(P13="","Write the plan first: planned visitors per arm",IF(MIN(J13,M13)&lt;P13,"Too early: "&amp;TEXT(MIN(J13,M13)/P13,"0%")&amp;" of the planned size",IF(V13="","Check the inputs",IF(V13&lt;'Design - Test Plan'!$C$19,IF(T13&gt;S13,"B earns more per visitor","A earns more per visitor"),"No clear difference at the planned size"))))&amp;IF(OR(D13="Before-after",D13="Sales quotes"),"  (not randomised: read as direction)","")))</f>
        <v/>
      </c>
      <c r="X13" s="19"/>
      <c r="Y13" s="54" t="str">
        <f aca="false">IF(F13="","",F13+90)</f>
        <v/>
      </c>
      <c r="Z13" s="39"/>
      <c r="AA13" s="39"/>
      <c r="AB13" s="19"/>
    </row>
    <row r="14" customFormat="false" ht="18" hidden="false" customHeight="true" outlineLevel="0" collapsed="false">
      <c r="B14" s="25" t="str">
        <f aca="false">IF(C14="","","T-"&amp;TEXT(ROW()-7,"000"))</f>
        <v/>
      </c>
      <c r="C14" s="19"/>
      <c r="D14" s="19"/>
      <c r="E14" s="30"/>
      <c r="F14" s="30"/>
      <c r="G14" s="49" t="str">
        <f aca="false">IF(OR(E14="",F14=""),"",F14-E14+1)</f>
        <v/>
      </c>
      <c r="H14" s="32"/>
      <c r="I14" s="32"/>
      <c r="J14" s="38"/>
      <c r="K14" s="38"/>
      <c r="L14" s="32"/>
      <c r="M14" s="38"/>
      <c r="N14" s="38"/>
      <c r="O14" s="32"/>
      <c r="P14" s="38"/>
      <c r="Q14" s="50" t="str">
        <f aca="false">IF(OR(J14="",J14=0,K14=""),"",K14/J14)</f>
        <v/>
      </c>
      <c r="R14" s="50" t="str">
        <f aca="false">IF(OR(M14="",M14=0,N14=""),"",N14/M14)</f>
        <v/>
      </c>
      <c r="S14" s="51" t="str">
        <f aca="false">IF(OR(J14="",J14=0,L14=""),"",L14/J14)</f>
        <v/>
      </c>
      <c r="T14" s="51" t="str">
        <f aca="false">IF(OR(M14="",M14=0,O14=""),"",O14/M14)</f>
        <v/>
      </c>
      <c r="U14" s="52" t="str">
        <f aca="false">IF(OR(S14="",T14="",S14=0),"",T14/S14-1)</f>
        <v/>
      </c>
      <c r="V14" s="53" t="str">
        <f aca="false">IF(OR(Q14="",R14="",S14="",T14=""),"",IFERROR(2*(1-NORMSDIST(ABS(T14-S14)/SQRT((L14/K14)^2*Q14*(1-Q14)/J14+(O14/N14)^2*R14*(1-R14)/M14))),""))</f>
        <v/>
      </c>
      <c r="W14" s="24" t="str">
        <f aca="false">IF(C14="","",IF(OR(J14="",M14=""),"Enter the results",IF(P14="","Write the plan first: planned visitors per arm",IF(MIN(J14,M14)&lt;P14,"Too early: "&amp;TEXT(MIN(J14,M14)/P14,"0%")&amp;" of the planned size",IF(V14="","Check the inputs",IF(V14&lt;'Design - Test Plan'!$C$19,IF(T14&gt;S14,"B earns more per visitor","A earns more per visitor"),"No clear difference at the planned size"))))&amp;IF(OR(D14="Before-after",D14="Sales quotes"),"  (not randomised: read as direction)","")))</f>
        <v/>
      </c>
      <c r="X14" s="19"/>
      <c r="Y14" s="54" t="str">
        <f aca="false">IF(F14="","",F14+90)</f>
        <v/>
      </c>
      <c r="Z14" s="39"/>
      <c r="AA14" s="39"/>
      <c r="AB14" s="19"/>
    </row>
    <row r="15" customFormat="false" ht="18" hidden="false" customHeight="true" outlineLevel="0" collapsed="false">
      <c r="B15" s="25" t="str">
        <f aca="false">IF(C15="","","T-"&amp;TEXT(ROW()-7,"000"))</f>
        <v/>
      </c>
      <c r="C15" s="19"/>
      <c r="D15" s="19"/>
      <c r="E15" s="30"/>
      <c r="F15" s="30"/>
      <c r="G15" s="49" t="str">
        <f aca="false">IF(OR(E15="",F15=""),"",F15-E15+1)</f>
        <v/>
      </c>
      <c r="H15" s="32"/>
      <c r="I15" s="32"/>
      <c r="J15" s="38"/>
      <c r="K15" s="38"/>
      <c r="L15" s="32"/>
      <c r="M15" s="38"/>
      <c r="N15" s="38"/>
      <c r="O15" s="32"/>
      <c r="P15" s="38"/>
      <c r="Q15" s="50" t="str">
        <f aca="false">IF(OR(J15="",J15=0,K15=""),"",K15/J15)</f>
        <v/>
      </c>
      <c r="R15" s="50" t="str">
        <f aca="false">IF(OR(M15="",M15=0,N15=""),"",N15/M15)</f>
        <v/>
      </c>
      <c r="S15" s="51" t="str">
        <f aca="false">IF(OR(J15="",J15=0,L15=""),"",L15/J15)</f>
        <v/>
      </c>
      <c r="T15" s="51" t="str">
        <f aca="false">IF(OR(M15="",M15=0,O15=""),"",O15/M15)</f>
        <v/>
      </c>
      <c r="U15" s="52" t="str">
        <f aca="false">IF(OR(S15="",T15="",S15=0),"",T15/S15-1)</f>
        <v/>
      </c>
      <c r="V15" s="53" t="str">
        <f aca="false">IF(OR(Q15="",R15="",S15="",T15=""),"",IFERROR(2*(1-NORMSDIST(ABS(T15-S15)/SQRT((L15/K15)^2*Q15*(1-Q15)/J15+(O15/N15)^2*R15*(1-R15)/M15))),""))</f>
        <v/>
      </c>
      <c r="W15" s="24" t="str">
        <f aca="false">IF(C15="","",IF(OR(J15="",M15=""),"Enter the results",IF(P15="","Write the plan first: planned visitors per arm",IF(MIN(J15,M15)&lt;P15,"Too early: "&amp;TEXT(MIN(J15,M15)/P15,"0%")&amp;" of the planned size",IF(V15="","Check the inputs",IF(V15&lt;'Design - Test Plan'!$C$19,IF(T15&gt;S15,"B earns more per visitor","A earns more per visitor"),"No clear difference at the planned size"))))&amp;IF(OR(D15="Before-after",D15="Sales quotes"),"  (not randomised: read as direction)","")))</f>
        <v/>
      </c>
      <c r="X15" s="19"/>
      <c r="Y15" s="54" t="str">
        <f aca="false">IF(F15="","",F15+90)</f>
        <v/>
      </c>
      <c r="Z15" s="39"/>
      <c r="AA15" s="39"/>
      <c r="AB15" s="19"/>
    </row>
    <row r="16" customFormat="false" ht="18" hidden="false" customHeight="true" outlineLevel="0" collapsed="false">
      <c r="B16" s="25" t="str">
        <f aca="false">IF(C16="","","T-"&amp;TEXT(ROW()-7,"000"))</f>
        <v/>
      </c>
      <c r="C16" s="19"/>
      <c r="D16" s="19"/>
      <c r="E16" s="30"/>
      <c r="F16" s="30"/>
      <c r="G16" s="49" t="str">
        <f aca="false">IF(OR(E16="",F16=""),"",F16-E16+1)</f>
        <v/>
      </c>
      <c r="H16" s="32"/>
      <c r="I16" s="32"/>
      <c r="J16" s="38"/>
      <c r="K16" s="38"/>
      <c r="L16" s="32"/>
      <c r="M16" s="38"/>
      <c r="N16" s="38"/>
      <c r="O16" s="32"/>
      <c r="P16" s="38"/>
      <c r="Q16" s="50" t="str">
        <f aca="false">IF(OR(J16="",J16=0,K16=""),"",K16/J16)</f>
        <v/>
      </c>
      <c r="R16" s="50" t="str">
        <f aca="false">IF(OR(M16="",M16=0,N16=""),"",N16/M16)</f>
        <v/>
      </c>
      <c r="S16" s="51" t="str">
        <f aca="false">IF(OR(J16="",J16=0,L16=""),"",L16/J16)</f>
        <v/>
      </c>
      <c r="T16" s="51" t="str">
        <f aca="false">IF(OR(M16="",M16=0,O16=""),"",O16/M16)</f>
        <v/>
      </c>
      <c r="U16" s="52" t="str">
        <f aca="false">IF(OR(S16="",T16="",S16=0),"",T16/S16-1)</f>
        <v/>
      </c>
      <c r="V16" s="53" t="str">
        <f aca="false">IF(OR(Q16="",R16="",S16="",T16=""),"",IFERROR(2*(1-NORMSDIST(ABS(T16-S16)/SQRT((L16/K16)^2*Q16*(1-Q16)/J16+(O16/N16)^2*R16*(1-R16)/M16))),""))</f>
        <v/>
      </c>
      <c r="W16" s="24" t="str">
        <f aca="false">IF(C16="","",IF(OR(J16="",M16=""),"Enter the results",IF(P16="","Write the plan first: planned visitors per arm",IF(MIN(J16,M16)&lt;P16,"Too early: "&amp;TEXT(MIN(J16,M16)/P16,"0%")&amp;" of the planned size",IF(V16="","Check the inputs",IF(V16&lt;'Design - Test Plan'!$C$19,IF(T16&gt;S16,"B earns more per visitor","A earns more per visitor"),"No clear difference at the planned size"))))&amp;IF(OR(D16="Before-after",D16="Sales quotes"),"  (not randomised: read as direction)","")))</f>
        <v/>
      </c>
      <c r="X16" s="19"/>
      <c r="Y16" s="54" t="str">
        <f aca="false">IF(F16="","",F16+90)</f>
        <v/>
      </c>
      <c r="Z16" s="39"/>
      <c r="AA16" s="39"/>
      <c r="AB16" s="19"/>
    </row>
    <row r="17" customFormat="false" ht="18" hidden="false" customHeight="true" outlineLevel="0" collapsed="false">
      <c r="B17" s="25" t="str">
        <f aca="false">IF(C17="","","T-"&amp;TEXT(ROW()-7,"000"))</f>
        <v/>
      </c>
      <c r="C17" s="19"/>
      <c r="D17" s="19"/>
      <c r="E17" s="30"/>
      <c r="F17" s="30"/>
      <c r="G17" s="49" t="str">
        <f aca="false">IF(OR(E17="",F17=""),"",F17-E17+1)</f>
        <v/>
      </c>
      <c r="H17" s="32"/>
      <c r="I17" s="32"/>
      <c r="J17" s="38"/>
      <c r="K17" s="38"/>
      <c r="L17" s="32"/>
      <c r="M17" s="38"/>
      <c r="N17" s="38"/>
      <c r="O17" s="32"/>
      <c r="P17" s="38"/>
      <c r="Q17" s="50" t="str">
        <f aca="false">IF(OR(J17="",J17=0,K17=""),"",K17/J17)</f>
        <v/>
      </c>
      <c r="R17" s="50" t="str">
        <f aca="false">IF(OR(M17="",M17=0,N17=""),"",N17/M17)</f>
        <v/>
      </c>
      <c r="S17" s="51" t="str">
        <f aca="false">IF(OR(J17="",J17=0,L17=""),"",L17/J17)</f>
        <v/>
      </c>
      <c r="T17" s="51" t="str">
        <f aca="false">IF(OR(M17="",M17=0,O17=""),"",O17/M17)</f>
        <v/>
      </c>
      <c r="U17" s="52" t="str">
        <f aca="false">IF(OR(S17="",T17="",S17=0),"",T17/S17-1)</f>
        <v/>
      </c>
      <c r="V17" s="53" t="str">
        <f aca="false">IF(OR(Q17="",R17="",S17="",T17=""),"",IFERROR(2*(1-NORMSDIST(ABS(T17-S17)/SQRT((L17/K17)^2*Q17*(1-Q17)/J17+(O17/N17)^2*R17*(1-R17)/M17))),""))</f>
        <v/>
      </c>
      <c r="W17" s="24" t="str">
        <f aca="false">IF(C17="","",IF(OR(J17="",M17=""),"Enter the results",IF(P17="","Write the plan first: planned visitors per arm",IF(MIN(J17,M17)&lt;P17,"Too early: "&amp;TEXT(MIN(J17,M17)/P17,"0%")&amp;" of the planned size",IF(V17="","Check the inputs",IF(V17&lt;'Design - Test Plan'!$C$19,IF(T17&gt;S17,"B earns more per visitor","A earns more per visitor"),"No clear difference at the planned size"))))&amp;IF(OR(D17="Before-after",D17="Sales quotes"),"  (not randomised: read as direction)","")))</f>
        <v/>
      </c>
      <c r="X17" s="19"/>
      <c r="Y17" s="54" t="str">
        <f aca="false">IF(F17="","",F17+90)</f>
        <v/>
      </c>
      <c r="Z17" s="39"/>
      <c r="AA17" s="39"/>
      <c r="AB17" s="19"/>
    </row>
    <row r="18" customFormat="false" ht="18" hidden="false" customHeight="true" outlineLevel="0" collapsed="false">
      <c r="B18" s="25" t="str">
        <f aca="false">IF(C18="","","T-"&amp;TEXT(ROW()-7,"000"))</f>
        <v/>
      </c>
      <c r="C18" s="19"/>
      <c r="D18" s="19"/>
      <c r="E18" s="30"/>
      <c r="F18" s="30"/>
      <c r="G18" s="49" t="str">
        <f aca="false">IF(OR(E18="",F18=""),"",F18-E18+1)</f>
        <v/>
      </c>
      <c r="H18" s="32"/>
      <c r="I18" s="32"/>
      <c r="J18" s="38"/>
      <c r="K18" s="38"/>
      <c r="L18" s="32"/>
      <c r="M18" s="38"/>
      <c r="N18" s="38"/>
      <c r="O18" s="32"/>
      <c r="P18" s="38"/>
      <c r="Q18" s="50" t="str">
        <f aca="false">IF(OR(J18="",J18=0,K18=""),"",K18/J18)</f>
        <v/>
      </c>
      <c r="R18" s="50" t="str">
        <f aca="false">IF(OR(M18="",M18=0,N18=""),"",N18/M18)</f>
        <v/>
      </c>
      <c r="S18" s="51" t="str">
        <f aca="false">IF(OR(J18="",J18=0,L18=""),"",L18/J18)</f>
        <v/>
      </c>
      <c r="T18" s="51" t="str">
        <f aca="false">IF(OR(M18="",M18=0,O18=""),"",O18/M18)</f>
        <v/>
      </c>
      <c r="U18" s="52" t="str">
        <f aca="false">IF(OR(S18="",T18="",S18=0),"",T18/S18-1)</f>
        <v/>
      </c>
      <c r="V18" s="53" t="str">
        <f aca="false">IF(OR(Q18="",R18="",S18="",T18=""),"",IFERROR(2*(1-NORMSDIST(ABS(T18-S18)/SQRT((L18/K18)^2*Q18*(1-Q18)/J18+(O18/N18)^2*R18*(1-R18)/M18))),""))</f>
        <v/>
      </c>
      <c r="W18" s="24" t="str">
        <f aca="false">IF(C18="","",IF(OR(J18="",M18=""),"Enter the results",IF(P18="","Write the plan first: planned visitors per arm",IF(MIN(J18,M18)&lt;P18,"Too early: "&amp;TEXT(MIN(J18,M18)/P18,"0%")&amp;" of the planned size",IF(V18="","Check the inputs",IF(V18&lt;'Design - Test Plan'!$C$19,IF(T18&gt;S18,"B earns more per visitor","A earns more per visitor"),"No clear difference at the planned size"))))&amp;IF(OR(D18="Before-after",D18="Sales quotes"),"  (not randomised: read as direction)","")))</f>
        <v/>
      </c>
      <c r="X18" s="19"/>
      <c r="Y18" s="54" t="str">
        <f aca="false">IF(F18="","",F18+90)</f>
        <v/>
      </c>
      <c r="Z18" s="39"/>
      <c r="AA18" s="39"/>
      <c r="AB18" s="19"/>
    </row>
    <row r="19" customFormat="false" ht="18" hidden="false" customHeight="true" outlineLevel="0" collapsed="false">
      <c r="B19" s="25" t="str">
        <f aca="false">IF(C19="","","T-"&amp;TEXT(ROW()-7,"000"))</f>
        <v/>
      </c>
      <c r="C19" s="19"/>
      <c r="D19" s="19"/>
      <c r="E19" s="30"/>
      <c r="F19" s="30"/>
      <c r="G19" s="49" t="str">
        <f aca="false">IF(OR(E19="",F19=""),"",F19-E19+1)</f>
        <v/>
      </c>
      <c r="H19" s="32"/>
      <c r="I19" s="32"/>
      <c r="J19" s="38"/>
      <c r="K19" s="38"/>
      <c r="L19" s="32"/>
      <c r="M19" s="38"/>
      <c r="N19" s="38"/>
      <c r="O19" s="32"/>
      <c r="P19" s="38"/>
      <c r="Q19" s="50" t="str">
        <f aca="false">IF(OR(J19="",J19=0,K19=""),"",K19/J19)</f>
        <v/>
      </c>
      <c r="R19" s="50" t="str">
        <f aca="false">IF(OR(M19="",M19=0,N19=""),"",N19/M19)</f>
        <v/>
      </c>
      <c r="S19" s="51" t="str">
        <f aca="false">IF(OR(J19="",J19=0,L19=""),"",L19/J19)</f>
        <v/>
      </c>
      <c r="T19" s="51" t="str">
        <f aca="false">IF(OR(M19="",M19=0,O19=""),"",O19/M19)</f>
        <v/>
      </c>
      <c r="U19" s="52" t="str">
        <f aca="false">IF(OR(S19="",T19="",S19=0),"",T19/S19-1)</f>
        <v/>
      </c>
      <c r="V19" s="53" t="str">
        <f aca="false">IF(OR(Q19="",R19="",S19="",T19=""),"",IFERROR(2*(1-NORMSDIST(ABS(T19-S19)/SQRT((L19/K19)^2*Q19*(1-Q19)/J19+(O19/N19)^2*R19*(1-R19)/M19))),""))</f>
        <v/>
      </c>
      <c r="W19" s="24" t="str">
        <f aca="false">IF(C19="","",IF(OR(J19="",M19=""),"Enter the results",IF(P19="","Write the plan first: planned visitors per arm",IF(MIN(J19,M19)&lt;P19,"Too early: "&amp;TEXT(MIN(J19,M19)/P19,"0%")&amp;" of the planned size",IF(V19="","Check the inputs",IF(V19&lt;'Design - Test Plan'!$C$19,IF(T19&gt;S19,"B earns more per visitor","A earns more per visitor"),"No clear difference at the planned size"))))&amp;IF(OR(D19="Before-after",D19="Sales quotes"),"  (not randomised: read as direction)","")))</f>
        <v/>
      </c>
      <c r="X19" s="19"/>
      <c r="Y19" s="54" t="str">
        <f aca="false">IF(F19="","",F19+90)</f>
        <v/>
      </c>
      <c r="Z19" s="39"/>
      <c r="AA19" s="39"/>
      <c r="AB19" s="19"/>
    </row>
    <row r="20" customFormat="false" ht="18" hidden="false" customHeight="true" outlineLevel="0" collapsed="false">
      <c r="B20" s="25" t="str">
        <f aca="false">IF(C20="","","T-"&amp;TEXT(ROW()-7,"000"))</f>
        <v/>
      </c>
      <c r="C20" s="19"/>
      <c r="D20" s="19"/>
      <c r="E20" s="30"/>
      <c r="F20" s="30"/>
      <c r="G20" s="49" t="str">
        <f aca="false">IF(OR(E20="",F20=""),"",F20-E20+1)</f>
        <v/>
      </c>
      <c r="H20" s="32"/>
      <c r="I20" s="32"/>
      <c r="J20" s="38"/>
      <c r="K20" s="38"/>
      <c r="L20" s="32"/>
      <c r="M20" s="38"/>
      <c r="N20" s="38"/>
      <c r="O20" s="32"/>
      <c r="P20" s="38"/>
      <c r="Q20" s="50" t="str">
        <f aca="false">IF(OR(J20="",J20=0,K20=""),"",K20/J20)</f>
        <v/>
      </c>
      <c r="R20" s="50" t="str">
        <f aca="false">IF(OR(M20="",M20=0,N20=""),"",N20/M20)</f>
        <v/>
      </c>
      <c r="S20" s="51" t="str">
        <f aca="false">IF(OR(J20="",J20=0,L20=""),"",L20/J20)</f>
        <v/>
      </c>
      <c r="T20" s="51" t="str">
        <f aca="false">IF(OR(M20="",M20=0,O20=""),"",O20/M20)</f>
        <v/>
      </c>
      <c r="U20" s="52" t="str">
        <f aca="false">IF(OR(S20="",T20="",S20=0),"",T20/S20-1)</f>
        <v/>
      </c>
      <c r="V20" s="53" t="str">
        <f aca="false">IF(OR(Q20="",R20="",S20="",T20=""),"",IFERROR(2*(1-NORMSDIST(ABS(T20-S20)/SQRT((L20/K20)^2*Q20*(1-Q20)/J20+(O20/N20)^2*R20*(1-R20)/M20))),""))</f>
        <v/>
      </c>
      <c r="W20" s="24" t="str">
        <f aca="false">IF(C20="","",IF(OR(J20="",M20=""),"Enter the results",IF(P20="","Write the plan first: planned visitors per arm",IF(MIN(J20,M20)&lt;P20,"Too early: "&amp;TEXT(MIN(J20,M20)/P20,"0%")&amp;" of the planned size",IF(V20="","Check the inputs",IF(V20&lt;'Design - Test Plan'!$C$19,IF(T20&gt;S20,"B earns more per visitor","A earns more per visitor"),"No clear difference at the planned size"))))&amp;IF(OR(D20="Before-after",D20="Sales quotes"),"  (not randomised: read as direction)","")))</f>
        <v/>
      </c>
      <c r="X20" s="19"/>
      <c r="Y20" s="54" t="str">
        <f aca="false">IF(F20="","",F20+90)</f>
        <v/>
      </c>
      <c r="Z20" s="39"/>
      <c r="AA20" s="39"/>
      <c r="AB20" s="19"/>
    </row>
    <row r="21" customFormat="false" ht="18" hidden="false" customHeight="true" outlineLevel="0" collapsed="false">
      <c r="B21" s="25" t="str">
        <f aca="false">IF(C21="","","T-"&amp;TEXT(ROW()-7,"000"))</f>
        <v/>
      </c>
      <c r="C21" s="19"/>
      <c r="D21" s="19"/>
      <c r="E21" s="30"/>
      <c r="F21" s="30"/>
      <c r="G21" s="49" t="str">
        <f aca="false">IF(OR(E21="",F21=""),"",F21-E21+1)</f>
        <v/>
      </c>
      <c r="H21" s="32"/>
      <c r="I21" s="32"/>
      <c r="J21" s="38"/>
      <c r="K21" s="38"/>
      <c r="L21" s="32"/>
      <c r="M21" s="38"/>
      <c r="N21" s="38"/>
      <c r="O21" s="32"/>
      <c r="P21" s="38"/>
      <c r="Q21" s="50" t="str">
        <f aca="false">IF(OR(J21="",J21=0,K21=""),"",K21/J21)</f>
        <v/>
      </c>
      <c r="R21" s="50" t="str">
        <f aca="false">IF(OR(M21="",M21=0,N21=""),"",N21/M21)</f>
        <v/>
      </c>
      <c r="S21" s="51" t="str">
        <f aca="false">IF(OR(J21="",J21=0,L21=""),"",L21/J21)</f>
        <v/>
      </c>
      <c r="T21" s="51" t="str">
        <f aca="false">IF(OR(M21="",M21=0,O21=""),"",O21/M21)</f>
        <v/>
      </c>
      <c r="U21" s="52" t="str">
        <f aca="false">IF(OR(S21="",T21="",S21=0),"",T21/S21-1)</f>
        <v/>
      </c>
      <c r="V21" s="53" t="str">
        <f aca="false">IF(OR(Q21="",R21="",S21="",T21=""),"",IFERROR(2*(1-NORMSDIST(ABS(T21-S21)/SQRT((L21/K21)^2*Q21*(1-Q21)/J21+(O21/N21)^2*R21*(1-R21)/M21))),""))</f>
        <v/>
      </c>
      <c r="W21" s="24" t="str">
        <f aca="false">IF(C21="","",IF(OR(J21="",M21=""),"Enter the results",IF(P21="","Write the plan first: planned visitors per arm",IF(MIN(J21,M21)&lt;P21,"Too early: "&amp;TEXT(MIN(J21,M21)/P21,"0%")&amp;" of the planned size",IF(V21="","Check the inputs",IF(V21&lt;'Design - Test Plan'!$C$19,IF(T21&gt;S21,"B earns more per visitor","A earns more per visitor"),"No clear difference at the planned size"))))&amp;IF(OR(D21="Before-after",D21="Sales quotes"),"  (not randomised: read as direction)","")))</f>
        <v/>
      </c>
      <c r="X21" s="19"/>
      <c r="Y21" s="54" t="str">
        <f aca="false">IF(F21="","",F21+90)</f>
        <v/>
      </c>
      <c r="Z21" s="39"/>
      <c r="AA21" s="39"/>
      <c r="AB21" s="19"/>
    </row>
    <row r="22" customFormat="false" ht="18" hidden="false" customHeight="true" outlineLevel="0" collapsed="false">
      <c r="B22" s="25" t="str">
        <f aca="false">IF(C22="","","T-"&amp;TEXT(ROW()-7,"000"))</f>
        <v/>
      </c>
      <c r="C22" s="19"/>
      <c r="D22" s="19"/>
      <c r="E22" s="30"/>
      <c r="F22" s="30"/>
      <c r="G22" s="49" t="str">
        <f aca="false">IF(OR(E22="",F22=""),"",F22-E22+1)</f>
        <v/>
      </c>
      <c r="H22" s="32"/>
      <c r="I22" s="32"/>
      <c r="J22" s="38"/>
      <c r="K22" s="38"/>
      <c r="L22" s="32"/>
      <c r="M22" s="38"/>
      <c r="N22" s="38"/>
      <c r="O22" s="32"/>
      <c r="P22" s="38"/>
      <c r="Q22" s="50" t="str">
        <f aca="false">IF(OR(J22="",J22=0,K22=""),"",K22/J22)</f>
        <v/>
      </c>
      <c r="R22" s="50" t="str">
        <f aca="false">IF(OR(M22="",M22=0,N22=""),"",N22/M22)</f>
        <v/>
      </c>
      <c r="S22" s="51" t="str">
        <f aca="false">IF(OR(J22="",J22=0,L22=""),"",L22/J22)</f>
        <v/>
      </c>
      <c r="T22" s="51" t="str">
        <f aca="false">IF(OR(M22="",M22=0,O22=""),"",O22/M22)</f>
        <v/>
      </c>
      <c r="U22" s="52" t="str">
        <f aca="false">IF(OR(S22="",T22="",S22=0),"",T22/S22-1)</f>
        <v/>
      </c>
      <c r="V22" s="53" t="str">
        <f aca="false">IF(OR(Q22="",R22="",S22="",T22=""),"",IFERROR(2*(1-NORMSDIST(ABS(T22-S22)/SQRT((L22/K22)^2*Q22*(1-Q22)/J22+(O22/N22)^2*R22*(1-R22)/M22))),""))</f>
        <v/>
      </c>
      <c r="W22" s="24" t="str">
        <f aca="false">IF(C22="","",IF(OR(J22="",M22=""),"Enter the results",IF(P22="","Write the plan first: planned visitors per arm",IF(MIN(J22,M22)&lt;P22,"Too early: "&amp;TEXT(MIN(J22,M22)/P22,"0%")&amp;" of the planned size",IF(V22="","Check the inputs",IF(V22&lt;'Design - Test Plan'!$C$19,IF(T22&gt;S22,"B earns more per visitor","A earns more per visitor"),"No clear difference at the planned size"))))&amp;IF(OR(D22="Before-after",D22="Sales quotes"),"  (not randomised: read as direction)","")))</f>
        <v/>
      </c>
      <c r="X22" s="19"/>
      <c r="Y22" s="54" t="str">
        <f aca="false">IF(F22="","",F22+90)</f>
        <v/>
      </c>
      <c r="Z22" s="39"/>
      <c r="AA22" s="39"/>
      <c r="AB22" s="19"/>
    </row>
    <row r="23" customFormat="false" ht="18" hidden="false" customHeight="true" outlineLevel="0" collapsed="false">
      <c r="B23" s="25" t="str">
        <f aca="false">IF(C23="","","T-"&amp;TEXT(ROW()-7,"000"))</f>
        <v/>
      </c>
      <c r="C23" s="19"/>
      <c r="D23" s="19"/>
      <c r="E23" s="30"/>
      <c r="F23" s="30"/>
      <c r="G23" s="49" t="str">
        <f aca="false">IF(OR(E23="",F23=""),"",F23-E23+1)</f>
        <v/>
      </c>
      <c r="H23" s="32"/>
      <c r="I23" s="32"/>
      <c r="J23" s="38"/>
      <c r="K23" s="38"/>
      <c r="L23" s="32"/>
      <c r="M23" s="38"/>
      <c r="N23" s="38"/>
      <c r="O23" s="32"/>
      <c r="P23" s="38"/>
      <c r="Q23" s="50" t="str">
        <f aca="false">IF(OR(J23="",J23=0,K23=""),"",K23/J23)</f>
        <v/>
      </c>
      <c r="R23" s="50" t="str">
        <f aca="false">IF(OR(M23="",M23=0,N23=""),"",N23/M23)</f>
        <v/>
      </c>
      <c r="S23" s="51" t="str">
        <f aca="false">IF(OR(J23="",J23=0,L23=""),"",L23/J23)</f>
        <v/>
      </c>
      <c r="T23" s="51" t="str">
        <f aca="false">IF(OR(M23="",M23=0,O23=""),"",O23/M23)</f>
        <v/>
      </c>
      <c r="U23" s="52" t="str">
        <f aca="false">IF(OR(S23="",T23="",S23=0),"",T23/S23-1)</f>
        <v/>
      </c>
      <c r="V23" s="53" t="str">
        <f aca="false">IF(OR(Q23="",R23="",S23="",T23=""),"",IFERROR(2*(1-NORMSDIST(ABS(T23-S23)/SQRT((L23/K23)^2*Q23*(1-Q23)/J23+(O23/N23)^2*R23*(1-R23)/M23))),""))</f>
        <v/>
      </c>
      <c r="W23" s="24" t="str">
        <f aca="false">IF(C23="","",IF(OR(J23="",M23=""),"Enter the results",IF(P23="","Write the plan first: planned visitors per arm",IF(MIN(J23,M23)&lt;P23,"Too early: "&amp;TEXT(MIN(J23,M23)/P23,"0%")&amp;" of the planned size",IF(V23="","Check the inputs",IF(V23&lt;'Design - Test Plan'!$C$19,IF(T23&gt;S23,"B earns more per visitor","A earns more per visitor"),"No clear difference at the planned size"))))&amp;IF(OR(D23="Before-after",D23="Sales quotes"),"  (not randomised: read as direction)","")))</f>
        <v/>
      </c>
      <c r="X23" s="19"/>
      <c r="Y23" s="54" t="str">
        <f aca="false">IF(F23="","",F23+90)</f>
        <v/>
      </c>
      <c r="Z23" s="39"/>
      <c r="AA23" s="39"/>
      <c r="AB23" s="19"/>
    </row>
    <row r="24" customFormat="false" ht="18" hidden="false" customHeight="true" outlineLevel="0" collapsed="false">
      <c r="B24" s="25" t="str">
        <f aca="false">IF(C24="","","T-"&amp;TEXT(ROW()-7,"000"))</f>
        <v/>
      </c>
      <c r="C24" s="19"/>
      <c r="D24" s="19"/>
      <c r="E24" s="30"/>
      <c r="F24" s="30"/>
      <c r="G24" s="49" t="str">
        <f aca="false">IF(OR(E24="",F24=""),"",F24-E24+1)</f>
        <v/>
      </c>
      <c r="H24" s="32"/>
      <c r="I24" s="32"/>
      <c r="J24" s="38"/>
      <c r="K24" s="38"/>
      <c r="L24" s="32"/>
      <c r="M24" s="38"/>
      <c r="N24" s="38"/>
      <c r="O24" s="32"/>
      <c r="P24" s="38"/>
      <c r="Q24" s="50" t="str">
        <f aca="false">IF(OR(J24="",J24=0,K24=""),"",K24/J24)</f>
        <v/>
      </c>
      <c r="R24" s="50" t="str">
        <f aca="false">IF(OR(M24="",M24=0,N24=""),"",N24/M24)</f>
        <v/>
      </c>
      <c r="S24" s="51" t="str">
        <f aca="false">IF(OR(J24="",J24=0,L24=""),"",L24/J24)</f>
        <v/>
      </c>
      <c r="T24" s="51" t="str">
        <f aca="false">IF(OR(M24="",M24=0,O24=""),"",O24/M24)</f>
        <v/>
      </c>
      <c r="U24" s="52" t="str">
        <f aca="false">IF(OR(S24="",T24="",S24=0),"",T24/S24-1)</f>
        <v/>
      </c>
      <c r="V24" s="53" t="str">
        <f aca="false">IF(OR(Q24="",R24="",S24="",T24=""),"",IFERROR(2*(1-NORMSDIST(ABS(T24-S24)/SQRT((L24/K24)^2*Q24*(1-Q24)/J24+(O24/N24)^2*R24*(1-R24)/M24))),""))</f>
        <v/>
      </c>
      <c r="W24" s="24" t="str">
        <f aca="false">IF(C24="","",IF(OR(J24="",M24=""),"Enter the results",IF(P24="","Write the plan first: planned visitors per arm",IF(MIN(J24,M24)&lt;P24,"Too early: "&amp;TEXT(MIN(J24,M24)/P24,"0%")&amp;" of the planned size",IF(V24="","Check the inputs",IF(V24&lt;'Design - Test Plan'!$C$19,IF(T24&gt;S24,"B earns more per visitor","A earns more per visitor"),"No clear difference at the planned size"))))&amp;IF(OR(D24="Before-after",D24="Sales quotes"),"  (not randomised: read as direction)","")))</f>
        <v/>
      </c>
      <c r="X24" s="19"/>
      <c r="Y24" s="54" t="str">
        <f aca="false">IF(F24="","",F24+90)</f>
        <v/>
      </c>
      <c r="Z24" s="39"/>
      <c r="AA24" s="39"/>
      <c r="AB24" s="19"/>
    </row>
    <row r="25" customFormat="false" ht="18" hidden="false" customHeight="true" outlineLevel="0" collapsed="false">
      <c r="B25" s="25" t="str">
        <f aca="false">IF(C25="","","T-"&amp;TEXT(ROW()-7,"000"))</f>
        <v/>
      </c>
      <c r="C25" s="19"/>
      <c r="D25" s="19"/>
      <c r="E25" s="30"/>
      <c r="F25" s="30"/>
      <c r="G25" s="49" t="str">
        <f aca="false">IF(OR(E25="",F25=""),"",F25-E25+1)</f>
        <v/>
      </c>
      <c r="H25" s="32"/>
      <c r="I25" s="32"/>
      <c r="J25" s="38"/>
      <c r="K25" s="38"/>
      <c r="L25" s="32"/>
      <c r="M25" s="38"/>
      <c r="N25" s="38"/>
      <c r="O25" s="32"/>
      <c r="P25" s="38"/>
      <c r="Q25" s="50" t="str">
        <f aca="false">IF(OR(J25="",J25=0,K25=""),"",K25/J25)</f>
        <v/>
      </c>
      <c r="R25" s="50" t="str">
        <f aca="false">IF(OR(M25="",M25=0,N25=""),"",N25/M25)</f>
        <v/>
      </c>
      <c r="S25" s="51" t="str">
        <f aca="false">IF(OR(J25="",J25=0,L25=""),"",L25/J25)</f>
        <v/>
      </c>
      <c r="T25" s="51" t="str">
        <f aca="false">IF(OR(M25="",M25=0,O25=""),"",O25/M25)</f>
        <v/>
      </c>
      <c r="U25" s="52" t="str">
        <f aca="false">IF(OR(S25="",T25="",S25=0),"",T25/S25-1)</f>
        <v/>
      </c>
      <c r="V25" s="53" t="str">
        <f aca="false">IF(OR(Q25="",R25="",S25="",T25=""),"",IFERROR(2*(1-NORMSDIST(ABS(T25-S25)/SQRT((L25/K25)^2*Q25*(1-Q25)/J25+(O25/N25)^2*R25*(1-R25)/M25))),""))</f>
        <v/>
      </c>
      <c r="W25" s="24" t="str">
        <f aca="false">IF(C25="","",IF(OR(J25="",M25=""),"Enter the results",IF(P25="","Write the plan first: planned visitors per arm",IF(MIN(J25,M25)&lt;P25,"Too early: "&amp;TEXT(MIN(J25,M25)/P25,"0%")&amp;" of the planned size",IF(V25="","Check the inputs",IF(V25&lt;'Design - Test Plan'!$C$19,IF(T25&gt;S25,"B earns more per visitor","A earns more per visitor"),"No clear difference at the planned size"))))&amp;IF(OR(D25="Before-after",D25="Sales quotes"),"  (not randomised: read as direction)","")))</f>
        <v/>
      </c>
      <c r="X25" s="19"/>
      <c r="Y25" s="54" t="str">
        <f aca="false">IF(F25="","",F25+90)</f>
        <v/>
      </c>
      <c r="Z25" s="39"/>
      <c r="AA25" s="39"/>
      <c r="AB25" s="19"/>
    </row>
    <row r="26" customFormat="false" ht="18" hidden="false" customHeight="true" outlineLevel="0" collapsed="false">
      <c r="B26" s="25" t="str">
        <f aca="false">IF(C26="","","T-"&amp;TEXT(ROW()-7,"000"))</f>
        <v/>
      </c>
      <c r="C26" s="19"/>
      <c r="D26" s="19"/>
      <c r="E26" s="30"/>
      <c r="F26" s="30"/>
      <c r="G26" s="49" t="str">
        <f aca="false">IF(OR(E26="",F26=""),"",F26-E26+1)</f>
        <v/>
      </c>
      <c r="H26" s="32"/>
      <c r="I26" s="32"/>
      <c r="J26" s="38"/>
      <c r="K26" s="38"/>
      <c r="L26" s="32"/>
      <c r="M26" s="38"/>
      <c r="N26" s="38"/>
      <c r="O26" s="32"/>
      <c r="P26" s="38"/>
      <c r="Q26" s="50" t="str">
        <f aca="false">IF(OR(J26="",J26=0,K26=""),"",K26/J26)</f>
        <v/>
      </c>
      <c r="R26" s="50" t="str">
        <f aca="false">IF(OR(M26="",M26=0,N26=""),"",N26/M26)</f>
        <v/>
      </c>
      <c r="S26" s="51" t="str">
        <f aca="false">IF(OR(J26="",J26=0,L26=""),"",L26/J26)</f>
        <v/>
      </c>
      <c r="T26" s="51" t="str">
        <f aca="false">IF(OR(M26="",M26=0,O26=""),"",O26/M26)</f>
        <v/>
      </c>
      <c r="U26" s="52" t="str">
        <f aca="false">IF(OR(S26="",T26="",S26=0),"",T26/S26-1)</f>
        <v/>
      </c>
      <c r="V26" s="53" t="str">
        <f aca="false">IF(OR(Q26="",R26="",S26="",T26=""),"",IFERROR(2*(1-NORMSDIST(ABS(T26-S26)/SQRT((L26/K26)^2*Q26*(1-Q26)/J26+(O26/N26)^2*R26*(1-R26)/M26))),""))</f>
        <v/>
      </c>
      <c r="W26" s="24" t="str">
        <f aca="false">IF(C26="","",IF(OR(J26="",M26=""),"Enter the results",IF(P26="","Write the plan first: planned visitors per arm",IF(MIN(J26,M26)&lt;P26,"Too early: "&amp;TEXT(MIN(J26,M26)/P26,"0%")&amp;" of the planned size",IF(V26="","Check the inputs",IF(V26&lt;'Design - Test Plan'!$C$19,IF(T26&gt;S26,"B earns more per visitor","A earns more per visitor"),"No clear difference at the planned size"))))&amp;IF(OR(D26="Before-after",D26="Sales quotes"),"  (not randomised: read as direction)","")))</f>
        <v/>
      </c>
      <c r="X26" s="19"/>
      <c r="Y26" s="54" t="str">
        <f aca="false">IF(F26="","",F26+90)</f>
        <v/>
      </c>
      <c r="Z26" s="39"/>
      <c r="AA26" s="39"/>
      <c r="AB26" s="19"/>
    </row>
    <row r="27" customFormat="false" ht="18" hidden="false" customHeight="true" outlineLevel="0" collapsed="false">
      <c r="B27" s="25" t="str">
        <f aca="false">IF(C27="","","T-"&amp;TEXT(ROW()-7,"000"))</f>
        <v/>
      </c>
      <c r="C27" s="19"/>
      <c r="D27" s="19"/>
      <c r="E27" s="30"/>
      <c r="F27" s="30"/>
      <c r="G27" s="49" t="str">
        <f aca="false">IF(OR(E27="",F27=""),"",F27-E27+1)</f>
        <v/>
      </c>
      <c r="H27" s="32"/>
      <c r="I27" s="32"/>
      <c r="J27" s="38"/>
      <c r="K27" s="38"/>
      <c r="L27" s="32"/>
      <c r="M27" s="38"/>
      <c r="N27" s="38"/>
      <c r="O27" s="32"/>
      <c r="P27" s="38"/>
      <c r="Q27" s="50" t="str">
        <f aca="false">IF(OR(J27="",J27=0,K27=""),"",K27/J27)</f>
        <v/>
      </c>
      <c r="R27" s="50" t="str">
        <f aca="false">IF(OR(M27="",M27=0,N27=""),"",N27/M27)</f>
        <v/>
      </c>
      <c r="S27" s="51" t="str">
        <f aca="false">IF(OR(J27="",J27=0,L27=""),"",L27/J27)</f>
        <v/>
      </c>
      <c r="T27" s="51" t="str">
        <f aca="false">IF(OR(M27="",M27=0,O27=""),"",O27/M27)</f>
        <v/>
      </c>
      <c r="U27" s="52" t="str">
        <f aca="false">IF(OR(S27="",T27="",S27=0),"",T27/S27-1)</f>
        <v/>
      </c>
      <c r="V27" s="53" t="str">
        <f aca="false">IF(OR(Q27="",R27="",S27="",T27=""),"",IFERROR(2*(1-NORMSDIST(ABS(T27-S27)/SQRT((L27/K27)^2*Q27*(1-Q27)/J27+(O27/N27)^2*R27*(1-R27)/M27))),""))</f>
        <v/>
      </c>
      <c r="W27" s="24" t="str">
        <f aca="false">IF(C27="","",IF(OR(J27="",M27=""),"Enter the results",IF(P27="","Write the plan first: planned visitors per arm",IF(MIN(J27,M27)&lt;P27,"Too early: "&amp;TEXT(MIN(J27,M27)/P27,"0%")&amp;" of the planned size",IF(V27="","Check the inputs",IF(V27&lt;'Design - Test Plan'!$C$19,IF(T27&gt;S27,"B earns more per visitor","A earns more per visitor"),"No clear difference at the planned size"))))&amp;IF(OR(D27="Before-after",D27="Sales quotes"),"  (not randomised: read as direction)","")))</f>
        <v/>
      </c>
      <c r="X27" s="19"/>
      <c r="Y27" s="54" t="str">
        <f aca="false">IF(F27="","",F27+90)</f>
        <v/>
      </c>
      <c r="Z27" s="39"/>
      <c r="AA27" s="39"/>
      <c r="AB27" s="19"/>
    </row>
    <row r="28" customFormat="false" ht="18" hidden="false" customHeight="true" outlineLevel="0" collapsed="false">
      <c r="B28" s="25" t="str">
        <f aca="false">IF(C28="","","T-"&amp;TEXT(ROW()-7,"000"))</f>
        <v/>
      </c>
      <c r="C28" s="19"/>
      <c r="D28" s="19"/>
      <c r="E28" s="30"/>
      <c r="F28" s="30"/>
      <c r="G28" s="49" t="str">
        <f aca="false">IF(OR(E28="",F28=""),"",F28-E28+1)</f>
        <v/>
      </c>
      <c r="H28" s="32"/>
      <c r="I28" s="32"/>
      <c r="J28" s="38"/>
      <c r="K28" s="38"/>
      <c r="L28" s="32"/>
      <c r="M28" s="38"/>
      <c r="N28" s="38"/>
      <c r="O28" s="32"/>
      <c r="P28" s="38"/>
      <c r="Q28" s="50" t="str">
        <f aca="false">IF(OR(J28="",J28=0,K28=""),"",K28/J28)</f>
        <v/>
      </c>
      <c r="R28" s="50" t="str">
        <f aca="false">IF(OR(M28="",M28=0,N28=""),"",N28/M28)</f>
        <v/>
      </c>
      <c r="S28" s="51" t="str">
        <f aca="false">IF(OR(J28="",J28=0,L28=""),"",L28/J28)</f>
        <v/>
      </c>
      <c r="T28" s="51" t="str">
        <f aca="false">IF(OR(M28="",M28=0,O28=""),"",O28/M28)</f>
        <v/>
      </c>
      <c r="U28" s="52" t="str">
        <f aca="false">IF(OR(S28="",T28="",S28=0),"",T28/S28-1)</f>
        <v/>
      </c>
      <c r="V28" s="53" t="str">
        <f aca="false">IF(OR(Q28="",R28="",S28="",T28=""),"",IFERROR(2*(1-NORMSDIST(ABS(T28-S28)/SQRT((L28/K28)^2*Q28*(1-Q28)/J28+(O28/N28)^2*R28*(1-R28)/M28))),""))</f>
        <v/>
      </c>
      <c r="W28" s="24" t="str">
        <f aca="false">IF(C28="","",IF(OR(J28="",M28=""),"Enter the results",IF(P28="","Write the plan first: planned visitors per arm",IF(MIN(J28,M28)&lt;P28,"Too early: "&amp;TEXT(MIN(J28,M28)/P28,"0%")&amp;" of the planned size",IF(V28="","Check the inputs",IF(V28&lt;'Design - Test Plan'!$C$19,IF(T28&gt;S28,"B earns more per visitor","A earns more per visitor"),"No clear difference at the planned size"))))&amp;IF(OR(D28="Before-after",D28="Sales quotes"),"  (not randomised: read as direction)","")))</f>
        <v/>
      </c>
      <c r="X28" s="19"/>
      <c r="Y28" s="54" t="str">
        <f aca="false">IF(F28="","",F28+90)</f>
        <v/>
      </c>
      <c r="Z28" s="39"/>
      <c r="AA28" s="39"/>
      <c r="AB28" s="19"/>
    </row>
    <row r="29" customFormat="false" ht="18" hidden="false" customHeight="true" outlineLevel="0" collapsed="false">
      <c r="B29" s="25" t="str">
        <f aca="false">IF(C29="","","T-"&amp;TEXT(ROW()-7,"000"))</f>
        <v/>
      </c>
      <c r="C29" s="19"/>
      <c r="D29" s="19"/>
      <c r="E29" s="30"/>
      <c r="F29" s="30"/>
      <c r="G29" s="49" t="str">
        <f aca="false">IF(OR(E29="",F29=""),"",F29-E29+1)</f>
        <v/>
      </c>
      <c r="H29" s="32"/>
      <c r="I29" s="32"/>
      <c r="J29" s="38"/>
      <c r="K29" s="38"/>
      <c r="L29" s="32"/>
      <c r="M29" s="38"/>
      <c r="N29" s="38"/>
      <c r="O29" s="32"/>
      <c r="P29" s="38"/>
      <c r="Q29" s="50" t="str">
        <f aca="false">IF(OR(J29="",J29=0,K29=""),"",K29/J29)</f>
        <v/>
      </c>
      <c r="R29" s="50" t="str">
        <f aca="false">IF(OR(M29="",M29=0,N29=""),"",N29/M29)</f>
        <v/>
      </c>
      <c r="S29" s="51" t="str">
        <f aca="false">IF(OR(J29="",J29=0,L29=""),"",L29/J29)</f>
        <v/>
      </c>
      <c r="T29" s="51" t="str">
        <f aca="false">IF(OR(M29="",M29=0,O29=""),"",O29/M29)</f>
        <v/>
      </c>
      <c r="U29" s="52" t="str">
        <f aca="false">IF(OR(S29="",T29="",S29=0),"",T29/S29-1)</f>
        <v/>
      </c>
      <c r="V29" s="53" t="str">
        <f aca="false">IF(OR(Q29="",R29="",S29="",T29=""),"",IFERROR(2*(1-NORMSDIST(ABS(T29-S29)/SQRT((L29/K29)^2*Q29*(1-Q29)/J29+(O29/N29)^2*R29*(1-R29)/M29))),""))</f>
        <v/>
      </c>
      <c r="W29" s="24" t="str">
        <f aca="false">IF(C29="","",IF(OR(J29="",M29=""),"Enter the results",IF(P29="","Write the plan first: planned visitors per arm",IF(MIN(J29,M29)&lt;P29,"Too early: "&amp;TEXT(MIN(J29,M29)/P29,"0%")&amp;" of the planned size",IF(V29="","Check the inputs",IF(V29&lt;'Design - Test Plan'!$C$19,IF(T29&gt;S29,"B earns more per visitor","A earns more per visitor"),"No clear difference at the planned size"))))&amp;IF(OR(D29="Before-after",D29="Sales quotes"),"  (not randomised: read as direction)","")))</f>
        <v/>
      </c>
      <c r="X29" s="19"/>
      <c r="Y29" s="54" t="str">
        <f aca="false">IF(F29="","",F29+90)</f>
        <v/>
      </c>
      <c r="Z29" s="39"/>
      <c r="AA29" s="39"/>
      <c r="AB29" s="19"/>
    </row>
    <row r="30" customFormat="false" ht="18" hidden="false" customHeight="true" outlineLevel="0" collapsed="false">
      <c r="B30" s="25" t="str">
        <f aca="false">IF(C30="","","T-"&amp;TEXT(ROW()-7,"000"))</f>
        <v/>
      </c>
      <c r="C30" s="19"/>
      <c r="D30" s="19"/>
      <c r="E30" s="30"/>
      <c r="F30" s="30"/>
      <c r="G30" s="49" t="str">
        <f aca="false">IF(OR(E30="",F30=""),"",F30-E30+1)</f>
        <v/>
      </c>
      <c r="H30" s="32"/>
      <c r="I30" s="32"/>
      <c r="J30" s="38"/>
      <c r="K30" s="38"/>
      <c r="L30" s="32"/>
      <c r="M30" s="38"/>
      <c r="N30" s="38"/>
      <c r="O30" s="32"/>
      <c r="P30" s="38"/>
      <c r="Q30" s="50" t="str">
        <f aca="false">IF(OR(J30="",J30=0,K30=""),"",K30/J30)</f>
        <v/>
      </c>
      <c r="R30" s="50" t="str">
        <f aca="false">IF(OR(M30="",M30=0,N30=""),"",N30/M30)</f>
        <v/>
      </c>
      <c r="S30" s="51" t="str">
        <f aca="false">IF(OR(J30="",J30=0,L30=""),"",L30/J30)</f>
        <v/>
      </c>
      <c r="T30" s="51" t="str">
        <f aca="false">IF(OR(M30="",M30=0,O30=""),"",O30/M30)</f>
        <v/>
      </c>
      <c r="U30" s="52" t="str">
        <f aca="false">IF(OR(S30="",T30="",S30=0),"",T30/S30-1)</f>
        <v/>
      </c>
      <c r="V30" s="53" t="str">
        <f aca="false">IF(OR(Q30="",R30="",S30="",T30=""),"",IFERROR(2*(1-NORMSDIST(ABS(T30-S30)/SQRT((L30/K30)^2*Q30*(1-Q30)/J30+(O30/N30)^2*R30*(1-R30)/M30))),""))</f>
        <v/>
      </c>
      <c r="W30" s="24" t="str">
        <f aca="false">IF(C30="","",IF(OR(J30="",M30=""),"Enter the results",IF(P30="","Write the plan first: planned visitors per arm",IF(MIN(J30,M30)&lt;P30,"Too early: "&amp;TEXT(MIN(J30,M30)/P30,"0%")&amp;" of the planned size",IF(V30="","Check the inputs",IF(V30&lt;'Design - Test Plan'!$C$19,IF(T30&gt;S30,"B earns more per visitor","A earns more per visitor"),"No clear difference at the planned size"))))&amp;IF(OR(D30="Before-after",D30="Sales quotes"),"  (not randomised: read as direction)","")))</f>
        <v/>
      </c>
      <c r="X30" s="19"/>
      <c r="Y30" s="54" t="str">
        <f aca="false">IF(F30="","",F30+90)</f>
        <v/>
      </c>
      <c r="Z30" s="39"/>
      <c r="AA30" s="39"/>
      <c r="AB30" s="19"/>
    </row>
    <row r="31" customFormat="false" ht="18" hidden="false" customHeight="true" outlineLevel="0" collapsed="false">
      <c r="B31" s="25" t="str">
        <f aca="false">IF(C31="","","T-"&amp;TEXT(ROW()-7,"000"))</f>
        <v/>
      </c>
      <c r="C31" s="19"/>
      <c r="D31" s="19"/>
      <c r="E31" s="30"/>
      <c r="F31" s="30"/>
      <c r="G31" s="49" t="str">
        <f aca="false">IF(OR(E31="",F31=""),"",F31-E31+1)</f>
        <v/>
      </c>
      <c r="H31" s="32"/>
      <c r="I31" s="32"/>
      <c r="J31" s="38"/>
      <c r="K31" s="38"/>
      <c r="L31" s="32"/>
      <c r="M31" s="38"/>
      <c r="N31" s="38"/>
      <c r="O31" s="32"/>
      <c r="P31" s="38"/>
      <c r="Q31" s="50" t="str">
        <f aca="false">IF(OR(J31="",J31=0,K31=""),"",K31/J31)</f>
        <v/>
      </c>
      <c r="R31" s="50" t="str">
        <f aca="false">IF(OR(M31="",M31=0,N31=""),"",N31/M31)</f>
        <v/>
      </c>
      <c r="S31" s="51" t="str">
        <f aca="false">IF(OR(J31="",J31=0,L31=""),"",L31/J31)</f>
        <v/>
      </c>
      <c r="T31" s="51" t="str">
        <f aca="false">IF(OR(M31="",M31=0,O31=""),"",O31/M31)</f>
        <v/>
      </c>
      <c r="U31" s="52" t="str">
        <f aca="false">IF(OR(S31="",T31="",S31=0),"",T31/S31-1)</f>
        <v/>
      </c>
      <c r="V31" s="53" t="str">
        <f aca="false">IF(OR(Q31="",R31="",S31="",T31=""),"",IFERROR(2*(1-NORMSDIST(ABS(T31-S31)/SQRT((L31/K31)^2*Q31*(1-Q31)/J31+(O31/N31)^2*R31*(1-R31)/M31))),""))</f>
        <v/>
      </c>
      <c r="W31" s="24" t="str">
        <f aca="false">IF(C31="","",IF(OR(J31="",M31=""),"Enter the results",IF(P31="","Write the plan first: planned visitors per arm",IF(MIN(J31,M31)&lt;P31,"Too early: "&amp;TEXT(MIN(J31,M31)/P31,"0%")&amp;" of the planned size",IF(V31="","Check the inputs",IF(V31&lt;'Design - Test Plan'!$C$19,IF(T31&gt;S31,"B earns more per visitor","A earns more per visitor"),"No clear difference at the planned size"))))&amp;IF(OR(D31="Before-after",D31="Sales quotes"),"  (not randomised: read as direction)","")))</f>
        <v/>
      </c>
      <c r="X31" s="19"/>
      <c r="Y31" s="54" t="str">
        <f aca="false">IF(F31="","",F31+90)</f>
        <v/>
      </c>
      <c r="Z31" s="39"/>
      <c r="AA31" s="39"/>
      <c r="AB31" s="19"/>
    </row>
    <row r="32" customFormat="false" ht="18" hidden="false" customHeight="true" outlineLevel="0" collapsed="false">
      <c r="B32" s="25" t="str">
        <f aca="false">IF(C32="","","T-"&amp;TEXT(ROW()-7,"000"))</f>
        <v/>
      </c>
      <c r="C32" s="19"/>
      <c r="D32" s="19"/>
      <c r="E32" s="30"/>
      <c r="F32" s="30"/>
      <c r="G32" s="49" t="str">
        <f aca="false">IF(OR(E32="",F32=""),"",F32-E32+1)</f>
        <v/>
      </c>
      <c r="H32" s="32"/>
      <c r="I32" s="32"/>
      <c r="J32" s="38"/>
      <c r="K32" s="38"/>
      <c r="L32" s="32"/>
      <c r="M32" s="38"/>
      <c r="N32" s="38"/>
      <c r="O32" s="32"/>
      <c r="P32" s="38"/>
      <c r="Q32" s="50" t="str">
        <f aca="false">IF(OR(J32="",J32=0,K32=""),"",K32/J32)</f>
        <v/>
      </c>
      <c r="R32" s="50" t="str">
        <f aca="false">IF(OR(M32="",M32=0,N32=""),"",N32/M32)</f>
        <v/>
      </c>
      <c r="S32" s="51" t="str">
        <f aca="false">IF(OR(J32="",J32=0,L32=""),"",L32/J32)</f>
        <v/>
      </c>
      <c r="T32" s="51" t="str">
        <f aca="false">IF(OR(M32="",M32=0,O32=""),"",O32/M32)</f>
        <v/>
      </c>
      <c r="U32" s="52" t="str">
        <f aca="false">IF(OR(S32="",T32="",S32=0),"",T32/S32-1)</f>
        <v/>
      </c>
      <c r="V32" s="53" t="str">
        <f aca="false">IF(OR(Q32="",R32="",S32="",T32=""),"",IFERROR(2*(1-NORMSDIST(ABS(T32-S32)/SQRT((L32/K32)^2*Q32*(1-Q32)/J32+(O32/N32)^2*R32*(1-R32)/M32))),""))</f>
        <v/>
      </c>
      <c r="W32" s="24" t="str">
        <f aca="false">IF(C32="","",IF(OR(J32="",M32=""),"Enter the results",IF(P32="","Write the plan first: planned visitors per arm",IF(MIN(J32,M32)&lt;P32,"Too early: "&amp;TEXT(MIN(J32,M32)/P32,"0%")&amp;" of the planned size",IF(V32="","Check the inputs",IF(V32&lt;'Design - Test Plan'!$C$19,IF(T32&gt;S32,"B earns more per visitor","A earns more per visitor"),"No clear difference at the planned size"))))&amp;IF(OR(D32="Before-after",D32="Sales quotes"),"  (not randomised: read as direction)","")))</f>
        <v/>
      </c>
      <c r="X32" s="19"/>
      <c r="Y32" s="54" t="str">
        <f aca="false">IF(F32="","",F32+90)</f>
        <v/>
      </c>
      <c r="Z32" s="39"/>
      <c r="AA32" s="39"/>
      <c r="AB32" s="19"/>
    </row>
    <row r="33" customFormat="false" ht="18" hidden="false" customHeight="true" outlineLevel="0" collapsed="false">
      <c r="B33" s="25" t="str">
        <f aca="false">IF(C33="","","T-"&amp;TEXT(ROW()-7,"000"))</f>
        <v/>
      </c>
      <c r="C33" s="19"/>
      <c r="D33" s="19"/>
      <c r="E33" s="30"/>
      <c r="F33" s="30"/>
      <c r="G33" s="49" t="str">
        <f aca="false">IF(OR(E33="",F33=""),"",F33-E33+1)</f>
        <v/>
      </c>
      <c r="H33" s="32"/>
      <c r="I33" s="32"/>
      <c r="J33" s="38"/>
      <c r="K33" s="38"/>
      <c r="L33" s="32"/>
      <c r="M33" s="38"/>
      <c r="N33" s="38"/>
      <c r="O33" s="32"/>
      <c r="P33" s="38"/>
      <c r="Q33" s="50" t="str">
        <f aca="false">IF(OR(J33="",J33=0,K33=""),"",K33/J33)</f>
        <v/>
      </c>
      <c r="R33" s="50" t="str">
        <f aca="false">IF(OR(M33="",M33=0,N33=""),"",N33/M33)</f>
        <v/>
      </c>
      <c r="S33" s="51" t="str">
        <f aca="false">IF(OR(J33="",J33=0,L33=""),"",L33/J33)</f>
        <v/>
      </c>
      <c r="T33" s="51" t="str">
        <f aca="false">IF(OR(M33="",M33=0,O33=""),"",O33/M33)</f>
        <v/>
      </c>
      <c r="U33" s="52" t="str">
        <f aca="false">IF(OR(S33="",T33="",S33=0),"",T33/S33-1)</f>
        <v/>
      </c>
      <c r="V33" s="53" t="str">
        <f aca="false">IF(OR(Q33="",R33="",S33="",T33=""),"",IFERROR(2*(1-NORMSDIST(ABS(T33-S33)/SQRT((L33/K33)^2*Q33*(1-Q33)/J33+(O33/N33)^2*R33*(1-R33)/M33))),""))</f>
        <v/>
      </c>
      <c r="W33" s="24" t="str">
        <f aca="false">IF(C33="","",IF(OR(J33="",M33=""),"Enter the results",IF(P33="","Write the plan first: planned visitors per arm",IF(MIN(J33,M33)&lt;P33,"Too early: "&amp;TEXT(MIN(J33,M33)/P33,"0%")&amp;" of the planned size",IF(V33="","Check the inputs",IF(V33&lt;'Design - Test Plan'!$C$19,IF(T33&gt;S33,"B earns more per visitor","A earns more per visitor"),"No clear difference at the planned size"))))&amp;IF(OR(D33="Before-after",D33="Sales quotes"),"  (not randomised: read as direction)","")))</f>
        <v/>
      </c>
      <c r="X33" s="19"/>
      <c r="Y33" s="54" t="str">
        <f aca="false">IF(F33="","",F33+90)</f>
        <v/>
      </c>
      <c r="Z33" s="39"/>
      <c r="AA33" s="39"/>
      <c r="AB33" s="19"/>
    </row>
    <row r="34" customFormat="false" ht="18" hidden="false" customHeight="true" outlineLevel="0" collapsed="false">
      <c r="B34" s="25" t="str">
        <f aca="false">IF(C34="","","T-"&amp;TEXT(ROW()-7,"000"))</f>
        <v/>
      </c>
      <c r="C34" s="19"/>
      <c r="D34" s="19"/>
      <c r="E34" s="30"/>
      <c r="F34" s="30"/>
      <c r="G34" s="49" t="str">
        <f aca="false">IF(OR(E34="",F34=""),"",F34-E34+1)</f>
        <v/>
      </c>
      <c r="H34" s="32"/>
      <c r="I34" s="32"/>
      <c r="J34" s="38"/>
      <c r="K34" s="38"/>
      <c r="L34" s="32"/>
      <c r="M34" s="38"/>
      <c r="N34" s="38"/>
      <c r="O34" s="32"/>
      <c r="P34" s="38"/>
      <c r="Q34" s="50" t="str">
        <f aca="false">IF(OR(J34="",J34=0,K34=""),"",K34/J34)</f>
        <v/>
      </c>
      <c r="R34" s="50" t="str">
        <f aca="false">IF(OR(M34="",M34=0,N34=""),"",N34/M34)</f>
        <v/>
      </c>
      <c r="S34" s="51" t="str">
        <f aca="false">IF(OR(J34="",J34=0,L34=""),"",L34/J34)</f>
        <v/>
      </c>
      <c r="T34" s="51" t="str">
        <f aca="false">IF(OR(M34="",M34=0,O34=""),"",O34/M34)</f>
        <v/>
      </c>
      <c r="U34" s="52" t="str">
        <f aca="false">IF(OR(S34="",T34="",S34=0),"",T34/S34-1)</f>
        <v/>
      </c>
      <c r="V34" s="53" t="str">
        <f aca="false">IF(OR(Q34="",R34="",S34="",T34=""),"",IFERROR(2*(1-NORMSDIST(ABS(T34-S34)/SQRT((L34/K34)^2*Q34*(1-Q34)/J34+(O34/N34)^2*R34*(1-R34)/M34))),""))</f>
        <v/>
      </c>
      <c r="W34" s="24" t="str">
        <f aca="false">IF(C34="","",IF(OR(J34="",M34=""),"Enter the results",IF(P34="","Write the plan first: planned visitors per arm",IF(MIN(J34,M34)&lt;P34,"Too early: "&amp;TEXT(MIN(J34,M34)/P34,"0%")&amp;" of the planned size",IF(V34="","Check the inputs",IF(V34&lt;'Design - Test Plan'!$C$19,IF(T34&gt;S34,"B earns more per visitor","A earns more per visitor"),"No clear difference at the planned size"))))&amp;IF(OR(D34="Before-after",D34="Sales quotes"),"  (not randomised: read as direction)","")))</f>
        <v/>
      </c>
      <c r="X34" s="19"/>
      <c r="Y34" s="54" t="str">
        <f aca="false">IF(F34="","",F34+90)</f>
        <v/>
      </c>
      <c r="Z34" s="39"/>
      <c r="AA34" s="39"/>
      <c r="AB34" s="19"/>
    </row>
    <row r="35" customFormat="false" ht="18" hidden="false" customHeight="true" outlineLevel="0" collapsed="false">
      <c r="B35" s="25" t="str">
        <f aca="false">IF(C35="","","T-"&amp;TEXT(ROW()-7,"000"))</f>
        <v/>
      </c>
      <c r="C35" s="19"/>
      <c r="D35" s="19"/>
      <c r="E35" s="30"/>
      <c r="F35" s="30"/>
      <c r="G35" s="49" t="str">
        <f aca="false">IF(OR(E35="",F35=""),"",F35-E35+1)</f>
        <v/>
      </c>
      <c r="H35" s="32"/>
      <c r="I35" s="32"/>
      <c r="J35" s="38"/>
      <c r="K35" s="38"/>
      <c r="L35" s="32"/>
      <c r="M35" s="38"/>
      <c r="N35" s="38"/>
      <c r="O35" s="32"/>
      <c r="P35" s="38"/>
      <c r="Q35" s="50" t="str">
        <f aca="false">IF(OR(J35="",J35=0,K35=""),"",K35/J35)</f>
        <v/>
      </c>
      <c r="R35" s="50" t="str">
        <f aca="false">IF(OR(M35="",M35=0,N35=""),"",N35/M35)</f>
        <v/>
      </c>
      <c r="S35" s="51" t="str">
        <f aca="false">IF(OR(J35="",J35=0,L35=""),"",L35/J35)</f>
        <v/>
      </c>
      <c r="T35" s="51" t="str">
        <f aca="false">IF(OR(M35="",M35=0,O35=""),"",O35/M35)</f>
        <v/>
      </c>
      <c r="U35" s="52" t="str">
        <f aca="false">IF(OR(S35="",T35="",S35=0),"",T35/S35-1)</f>
        <v/>
      </c>
      <c r="V35" s="53" t="str">
        <f aca="false">IF(OR(Q35="",R35="",S35="",T35=""),"",IFERROR(2*(1-NORMSDIST(ABS(T35-S35)/SQRT((L35/K35)^2*Q35*(1-Q35)/J35+(O35/N35)^2*R35*(1-R35)/M35))),""))</f>
        <v/>
      </c>
      <c r="W35" s="24" t="str">
        <f aca="false">IF(C35="","",IF(OR(J35="",M35=""),"Enter the results",IF(P35="","Write the plan first: planned visitors per arm",IF(MIN(J35,M35)&lt;P35,"Too early: "&amp;TEXT(MIN(J35,M35)/P35,"0%")&amp;" of the planned size",IF(V35="","Check the inputs",IF(V35&lt;'Design - Test Plan'!$C$19,IF(T35&gt;S35,"B earns more per visitor","A earns more per visitor"),"No clear difference at the planned size"))))&amp;IF(OR(D35="Before-after",D35="Sales quotes"),"  (not randomised: read as direction)","")))</f>
        <v/>
      </c>
      <c r="X35" s="19"/>
      <c r="Y35" s="54" t="str">
        <f aca="false">IF(F35="","",F35+90)</f>
        <v/>
      </c>
      <c r="Z35" s="39"/>
      <c r="AA35" s="39"/>
      <c r="AB35" s="19"/>
    </row>
    <row r="36" customFormat="false" ht="18" hidden="false" customHeight="true" outlineLevel="0" collapsed="false">
      <c r="B36" s="25" t="str">
        <f aca="false">IF(C36="","","T-"&amp;TEXT(ROW()-7,"000"))</f>
        <v/>
      </c>
      <c r="C36" s="19"/>
      <c r="D36" s="19"/>
      <c r="E36" s="30"/>
      <c r="F36" s="30"/>
      <c r="G36" s="49" t="str">
        <f aca="false">IF(OR(E36="",F36=""),"",F36-E36+1)</f>
        <v/>
      </c>
      <c r="H36" s="32"/>
      <c r="I36" s="32"/>
      <c r="J36" s="38"/>
      <c r="K36" s="38"/>
      <c r="L36" s="32"/>
      <c r="M36" s="38"/>
      <c r="N36" s="38"/>
      <c r="O36" s="32"/>
      <c r="P36" s="38"/>
      <c r="Q36" s="50" t="str">
        <f aca="false">IF(OR(J36="",J36=0,K36=""),"",K36/J36)</f>
        <v/>
      </c>
      <c r="R36" s="50" t="str">
        <f aca="false">IF(OR(M36="",M36=0,N36=""),"",N36/M36)</f>
        <v/>
      </c>
      <c r="S36" s="51" t="str">
        <f aca="false">IF(OR(J36="",J36=0,L36=""),"",L36/J36)</f>
        <v/>
      </c>
      <c r="T36" s="51" t="str">
        <f aca="false">IF(OR(M36="",M36=0,O36=""),"",O36/M36)</f>
        <v/>
      </c>
      <c r="U36" s="52" t="str">
        <f aca="false">IF(OR(S36="",T36="",S36=0),"",T36/S36-1)</f>
        <v/>
      </c>
      <c r="V36" s="53" t="str">
        <f aca="false">IF(OR(Q36="",R36="",S36="",T36=""),"",IFERROR(2*(1-NORMSDIST(ABS(T36-S36)/SQRT((L36/K36)^2*Q36*(1-Q36)/J36+(O36/N36)^2*R36*(1-R36)/M36))),""))</f>
        <v/>
      </c>
      <c r="W36" s="24" t="str">
        <f aca="false">IF(C36="","",IF(OR(J36="",M36=""),"Enter the results",IF(P36="","Write the plan first: planned visitors per arm",IF(MIN(J36,M36)&lt;P36,"Too early: "&amp;TEXT(MIN(J36,M36)/P36,"0%")&amp;" of the planned size",IF(V36="","Check the inputs",IF(V36&lt;'Design - Test Plan'!$C$19,IF(T36&gt;S36,"B earns more per visitor","A earns more per visitor"),"No clear difference at the planned size"))))&amp;IF(OR(D36="Before-after",D36="Sales quotes"),"  (not randomised: read as direction)","")))</f>
        <v/>
      </c>
      <c r="X36" s="19"/>
      <c r="Y36" s="54" t="str">
        <f aca="false">IF(F36="","",F36+90)</f>
        <v/>
      </c>
      <c r="Z36" s="39"/>
      <c r="AA36" s="39"/>
      <c r="AB36" s="19"/>
    </row>
    <row r="37" customFormat="false" ht="18" hidden="false" customHeight="true" outlineLevel="0" collapsed="false">
      <c r="B37" s="25" t="str">
        <f aca="false">IF(C37="","","T-"&amp;TEXT(ROW()-7,"000"))</f>
        <v/>
      </c>
      <c r="C37" s="19"/>
      <c r="D37" s="19"/>
      <c r="E37" s="30"/>
      <c r="F37" s="30"/>
      <c r="G37" s="49" t="str">
        <f aca="false">IF(OR(E37="",F37=""),"",F37-E37+1)</f>
        <v/>
      </c>
      <c r="H37" s="32"/>
      <c r="I37" s="32"/>
      <c r="J37" s="38"/>
      <c r="K37" s="38"/>
      <c r="L37" s="32"/>
      <c r="M37" s="38"/>
      <c r="N37" s="38"/>
      <c r="O37" s="32"/>
      <c r="P37" s="38"/>
      <c r="Q37" s="50" t="str">
        <f aca="false">IF(OR(J37="",J37=0,K37=""),"",K37/J37)</f>
        <v/>
      </c>
      <c r="R37" s="50" t="str">
        <f aca="false">IF(OR(M37="",M37=0,N37=""),"",N37/M37)</f>
        <v/>
      </c>
      <c r="S37" s="51" t="str">
        <f aca="false">IF(OR(J37="",J37=0,L37=""),"",L37/J37)</f>
        <v/>
      </c>
      <c r="T37" s="51" t="str">
        <f aca="false">IF(OR(M37="",M37=0,O37=""),"",O37/M37)</f>
        <v/>
      </c>
      <c r="U37" s="52" t="str">
        <f aca="false">IF(OR(S37="",T37="",S37=0),"",T37/S37-1)</f>
        <v/>
      </c>
      <c r="V37" s="53" t="str">
        <f aca="false">IF(OR(Q37="",R37="",S37="",T37=""),"",IFERROR(2*(1-NORMSDIST(ABS(T37-S37)/SQRT((L37/K37)^2*Q37*(1-Q37)/J37+(O37/N37)^2*R37*(1-R37)/M37))),""))</f>
        <v/>
      </c>
      <c r="W37" s="24" t="str">
        <f aca="false">IF(C37="","",IF(OR(J37="",M37=""),"Enter the results",IF(P37="","Write the plan first: planned visitors per arm",IF(MIN(J37,M37)&lt;P37,"Too early: "&amp;TEXT(MIN(J37,M37)/P37,"0%")&amp;" of the planned size",IF(V37="","Check the inputs",IF(V37&lt;'Design - Test Plan'!$C$19,IF(T37&gt;S37,"B earns more per visitor","A earns more per visitor"),"No clear difference at the planned size"))))&amp;IF(OR(D37="Before-after",D37="Sales quotes"),"  (not randomised: read as direction)","")))</f>
        <v/>
      </c>
      <c r="X37" s="19"/>
      <c r="Y37" s="54" t="str">
        <f aca="false">IF(F37="","",F37+90)</f>
        <v/>
      </c>
      <c r="Z37" s="39"/>
      <c r="AA37" s="39"/>
      <c r="AB37" s="19"/>
    </row>
    <row r="39" customFormat="false" ht="15" hidden="false" customHeight="true" outlineLevel="0" collapsed="false">
      <c r="B39" s="17" t="s">
        <v>303</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row>
  </sheetData>
  <mergeCells count="2">
    <mergeCell ref="B5:AB5"/>
    <mergeCell ref="B39:AB39"/>
  </mergeCells>
  <dataValidations count="2">
    <dataValidation allowBlank="true" errorStyle="stop" operator="between" showDropDown="false" showErrorMessage="false" showInputMessage="false" sqref="D8:D37" type="list">
      <formula1>"Live A/B,Before-after,Sales quotes,Other"</formula1>
      <formula2>0</formula2>
    </dataValidation>
    <dataValidation allowBlank="true" errorStyle="stop" operator="between" showDropDown="false" showErrorMessage="false" showInputMessage="false" sqref="X8:X37" type="list">
      <formula1>"Keep B,Keep A,Retest,Undecided"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6470"/>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00"/>
    <col collapsed="false" customWidth="true" hidden="false" outlineLevel="0" max="4" min="4" style="0" width="3"/>
  </cols>
  <sheetData>
    <row r="1" customFormat="false" ht="21.75" hidden="false" customHeight="true" outlineLevel="0" collapsed="false">
      <c r="A1" s="1" t="s">
        <v>0</v>
      </c>
      <c r="B1" s="2"/>
      <c r="C1" s="2"/>
      <c r="D1" s="2"/>
    </row>
    <row r="2" customFormat="false" ht="24" hidden="false" customHeight="true" outlineLevel="0" collapsed="false">
      <c r="A2" s="3" t="s">
        <v>304</v>
      </c>
      <c r="B2" s="2"/>
      <c r="C2" s="2"/>
      <c r="D2" s="2"/>
    </row>
    <row r="3" customFormat="false" ht="19.5" hidden="false" customHeight="true" outlineLevel="0" collapsed="false">
      <c r="A3" s="4" t="s">
        <v>305</v>
      </c>
      <c r="B3" s="5"/>
      <c r="C3" s="5"/>
      <c r="D3" s="5"/>
    </row>
    <row r="6" customFormat="false" ht="15" hidden="false" customHeight="false" outlineLevel="0" collapsed="false">
      <c r="B6" s="26" t="s">
        <v>306</v>
      </c>
      <c r="C6" s="2"/>
    </row>
    <row r="7" customFormat="false" ht="45" hidden="false" customHeight="true" outlineLevel="0" collapsed="false">
      <c r="B7" s="15" t="s">
        <v>307</v>
      </c>
      <c r="C7" s="21" t="s">
        <v>308</v>
      </c>
    </row>
    <row r="8" customFormat="false" ht="75" hidden="false" customHeight="true" outlineLevel="0" collapsed="false">
      <c r="B8" s="15" t="s">
        <v>309</v>
      </c>
      <c r="C8" s="21" t="s">
        <v>310</v>
      </c>
    </row>
    <row r="9" customFormat="false" ht="60" hidden="false" customHeight="true" outlineLevel="0" collapsed="false">
      <c r="B9" s="15" t="s">
        <v>311</v>
      </c>
      <c r="C9" s="21" t="s">
        <v>312</v>
      </c>
    </row>
    <row r="10" customFormat="false" ht="30" hidden="false" customHeight="true" outlineLevel="0" collapsed="false">
      <c r="B10" s="15" t="s">
        <v>313</v>
      </c>
      <c r="C10" s="21" t="s">
        <v>314</v>
      </c>
    </row>
    <row r="11" customFormat="false" ht="45" hidden="false" customHeight="true" outlineLevel="0" collapsed="false">
      <c r="B11" s="15" t="s">
        <v>315</v>
      </c>
      <c r="C11" s="21" t="s">
        <v>316</v>
      </c>
    </row>
    <row r="12" customFormat="false" ht="15" hidden="false" customHeight="false" outlineLevel="0" collapsed="false">
      <c r="B12" s="26" t="s">
        <v>317</v>
      </c>
      <c r="C12" s="2"/>
    </row>
    <row r="13" customFormat="false" ht="60" hidden="false" customHeight="true" outlineLevel="0" collapsed="false">
      <c r="B13" s="15" t="s">
        <v>318</v>
      </c>
      <c r="C13" s="21" t="s">
        <v>319</v>
      </c>
    </row>
    <row r="14" customFormat="false" ht="60" hidden="false" customHeight="true" outlineLevel="0" collapsed="false">
      <c r="B14" s="15" t="s">
        <v>320</v>
      </c>
      <c r="C14" s="21" t="s">
        <v>321</v>
      </c>
    </row>
    <row r="15" customFormat="false" ht="75" hidden="false" customHeight="true" outlineLevel="0" collapsed="false">
      <c r="B15" s="15" t="s">
        <v>322</v>
      </c>
      <c r="C15" s="21" t="s">
        <v>323</v>
      </c>
    </row>
    <row r="16" customFormat="false" ht="60" hidden="false" customHeight="true" outlineLevel="0" collapsed="false">
      <c r="B16" s="15" t="s">
        <v>324</v>
      </c>
      <c r="C16" s="21" t="s">
        <v>325</v>
      </c>
    </row>
    <row r="17" customFormat="false" ht="15" hidden="false" customHeight="false" outlineLevel="0" collapsed="false">
      <c r="B17" s="26" t="s">
        <v>326</v>
      </c>
      <c r="C17" s="2"/>
    </row>
    <row r="18" customFormat="false" ht="45" hidden="false" customHeight="true" outlineLevel="0" collapsed="false">
      <c r="B18" s="15" t="s">
        <v>327</v>
      </c>
      <c r="C18" s="21" t="s">
        <v>328</v>
      </c>
    </row>
    <row r="19" customFormat="false" ht="30" hidden="false" customHeight="true" outlineLevel="0" collapsed="false">
      <c r="B19" s="15" t="s">
        <v>329</v>
      </c>
      <c r="C19" s="21" t="s">
        <v>330</v>
      </c>
    </row>
    <row r="21" customFormat="false" ht="22.35" hidden="false" customHeight="false" outlineLevel="0" collapsed="false">
      <c r="B21" s="18" t="s">
        <v>34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2026-09-27T08:11:58Z</dcterms:created>
  <dc:creator>openpyxl</dc:creator>
  <dc:description/>
  <dc:language>en-US</dc:language>
  <cp:lastModifiedBy/>
  <dcterms:modified xsi:type="dcterms:W3CDTF">2026-09-27T08:11:58Z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